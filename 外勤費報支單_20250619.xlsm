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s\外勤報支\"/>
    </mc:Choice>
  </mc:AlternateContent>
  <xr:revisionPtr revIDLastSave="0" documentId="13_ncr:1_{4B7DDCED-812F-49E6-936F-791F790E5EF2}" xr6:coauthVersionLast="47" xr6:coauthVersionMax="47" xr10:uidLastSave="{00000000-0000-0000-0000-000000000000}"/>
  <bookViews>
    <workbookView xWindow="-108" yWindow="-108" windowWidth="23256" windowHeight="12456" tabRatio="787" xr2:uid="{00000000-000D-0000-FFFF-FFFF00000000}"/>
  </bookViews>
  <sheets>
    <sheet name="外勤費報支單" sheetId="49" r:id="rId1"/>
    <sheet name="差假資料" sheetId="59" r:id="rId2"/>
    <sheet name="差假資料-FILTER" sheetId="60" state="hidden" r:id="rId3"/>
    <sheet name="里程表" sheetId="63" r:id="rId4"/>
  </sheets>
  <externalReferences>
    <externalReference r:id="rId5"/>
  </externalReferences>
  <definedNames>
    <definedName name="_60KM以上" localSheetId="0">外勤費報支單!$AF$12:$AF$17</definedName>
    <definedName name="_xlnm.Print_Area" localSheetId="0">外勤費報支單!$A$1:$Z$40</definedName>
    <definedName name="WBS">外勤費報支單!$Z$12</definedName>
    <definedName name="各WBS">外勤費報支單!$AF$12:$AF$17</definedName>
    <definedName name="報支地點">[1]DataBase!$A:$A</definedName>
    <definedName name="項次" comment="此處貼上已登錄差假資料明細">差假資料!$A$2</definedName>
    <definedName name="項次A2" comment="此處貼上已登錄差假資料明細">差假資料!$A$2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59" l="1" a="1"/>
  <c r="J3" i="59" s="1"/>
  <c r="J4" i="59" a="1"/>
  <c r="J4" i="59" s="1"/>
  <c r="J5" i="59" a="1"/>
  <c r="J5" i="59" s="1"/>
  <c r="J6" i="59" a="1"/>
  <c r="J6" i="59" s="1"/>
  <c r="J7" i="59" a="1"/>
  <c r="J7" i="59" s="1"/>
  <c r="J8" i="59" a="1"/>
  <c r="J8" i="59" s="1"/>
  <c r="J9" i="59" a="1"/>
  <c r="J9" i="59" s="1"/>
  <c r="J10" i="59" a="1"/>
  <c r="J10" i="59" s="1"/>
  <c r="J11" i="59" a="1"/>
  <c r="J11" i="59" s="1"/>
  <c r="J12" i="59" a="1"/>
  <c r="J12" i="59" s="1"/>
  <c r="J13" i="59" a="1"/>
  <c r="J13" i="59" s="1"/>
  <c r="J14" i="59" a="1"/>
  <c r="J14" i="59" s="1"/>
  <c r="J15" i="59" a="1"/>
  <c r="J15" i="59" s="1"/>
  <c r="J16" i="59" a="1"/>
  <c r="J16" i="59" s="1"/>
  <c r="J17" i="59" a="1"/>
  <c r="J17" i="59" s="1"/>
  <c r="J18" i="59" a="1"/>
  <c r="J18" i="59" s="1"/>
  <c r="J19" i="59" a="1"/>
  <c r="J19" i="59" s="1"/>
  <c r="J20" i="59" a="1"/>
  <c r="J20" i="59" s="1"/>
  <c r="J21" i="59" a="1"/>
  <c r="J21" i="59" s="1"/>
  <c r="J22" i="59" a="1"/>
  <c r="J22" i="59" s="1"/>
  <c r="J23" i="59" a="1"/>
  <c r="J23" i="59" s="1"/>
  <c r="J24" i="59" a="1"/>
  <c r="J24" i="59" s="1"/>
  <c r="J25" i="59" a="1"/>
  <c r="J25" i="59" s="1"/>
  <c r="J26" i="59" a="1"/>
  <c r="J26" i="59" s="1"/>
  <c r="J27" i="59" a="1"/>
  <c r="J27" i="59" s="1"/>
  <c r="J28" i="59" a="1"/>
  <c r="J28" i="59" s="1"/>
  <c r="J29" i="59" a="1"/>
  <c r="J29" i="59" s="1"/>
  <c r="J30" i="59" a="1"/>
  <c r="J30" i="59" s="1"/>
  <c r="J31" i="59" a="1"/>
  <c r="J31" i="59" s="1"/>
  <c r="J32" i="59" a="1"/>
  <c r="J32" i="59" s="1"/>
  <c r="J33" i="59" a="1"/>
  <c r="J33" i="59" s="1"/>
  <c r="J34" i="59" a="1"/>
  <c r="J34" i="59" s="1"/>
  <c r="J35" i="59" a="1"/>
  <c r="J35" i="59" s="1"/>
  <c r="J36" i="59" a="1"/>
  <c r="J36" i="59" s="1"/>
  <c r="J37" i="59" a="1"/>
  <c r="J37" i="59" s="1"/>
  <c r="J38" i="59" a="1"/>
  <c r="J38" i="59" s="1"/>
  <c r="J39" i="59" a="1"/>
  <c r="J39" i="59" s="1"/>
  <c r="J40" i="59" a="1"/>
  <c r="J40" i="59" s="1"/>
  <c r="J41" i="59" a="1"/>
  <c r="J41" i="59" s="1"/>
  <c r="J42" i="59" a="1"/>
  <c r="J42" i="59" s="1"/>
  <c r="J43" i="59" a="1"/>
  <c r="J43" i="59" s="1"/>
  <c r="J44" i="59" a="1"/>
  <c r="J44" i="59" s="1"/>
  <c r="J45" i="59" a="1"/>
  <c r="J45" i="59" s="1"/>
  <c r="J46" i="59" a="1"/>
  <c r="J46" i="59" s="1"/>
  <c r="J47" i="59" a="1"/>
  <c r="J47" i="59" s="1"/>
  <c r="J48" i="59" a="1"/>
  <c r="J48" i="59" s="1"/>
  <c r="J49" i="59" a="1"/>
  <c r="J49" i="59" s="1"/>
  <c r="J50" i="59" a="1"/>
  <c r="J50" i="59" s="1"/>
  <c r="J51" i="59" a="1"/>
  <c r="J51" i="59" s="1"/>
  <c r="J2" i="59" a="1"/>
  <c r="J2" i="59" s="1"/>
  <c r="I3" i="59" a="1"/>
  <c r="I3" i="59" s="1"/>
  <c r="I4" i="59" a="1"/>
  <c r="I4" i="59" s="1"/>
  <c r="I5" i="59" a="1"/>
  <c r="I5" i="59" s="1"/>
  <c r="I6" i="59" a="1"/>
  <c r="I6" i="59" s="1"/>
  <c r="I7" i="59" a="1"/>
  <c r="I7" i="59" s="1"/>
  <c r="I8" i="59" a="1"/>
  <c r="I8" i="59" s="1"/>
  <c r="I9" i="59" a="1"/>
  <c r="I9" i="59" s="1"/>
  <c r="I10" i="59" a="1"/>
  <c r="I10" i="59" s="1"/>
  <c r="I11" i="59" a="1"/>
  <c r="I11" i="59" s="1"/>
  <c r="I12" i="59" a="1"/>
  <c r="I12" i="59" s="1"/>
  <c r="I13" i="59" a="1"/>
  <c r="I13" i="59" s="1"/>
  <c r="I14" i="59" a="1"/>
  <c r="I14" i="59" s="1"/>
  <c r="I15" i="59" a="1"/>
  <c r="I15" i="59" s="1"/>
  <c r="I16" i="59" a="1"/>
  <c r="I16" i="59" s="1"/>
  <c r="I17" i="59" a="1"/>
  <c r="I17" i="59" s="1"/>
  <c r="I18" i="59" a="1"/>
  <c r="I18" i="59" s="1"/>
  <c r="I19" i="59" a="1"/>
  <c r="I19" i="59" s="1"/>
  <c r="I20" i="59" a="1"/>
  <c r="I20" i="59" s="1"/>
  <c r="I21" i="59" a="1"/>
  <c r="I21" i="59" s="1"/>
  <c r="I22" i="59" a="1"/>
  <c r="I22" i="59" s="1"/>
  <c r="I23" i="59" a="1"/>
  <c r="I23" i="59" s="1"/>
  <c r="I24" i="59" a="1"/>
  <c r="I24" i="59" s="1"/>
  <c r="I25" i="59" a="1"/>
  <c r="I25" i="59" s="1"/>
  <c r="I26" i="59" a="1"/>
  <c r="I26" i="59" s="1"/>
  <c r="I27" i="59" a="1"/>
  <c r="I27" i="59" s="1"/>
  <c r="I28" i="59" a="1"/>
  <c r="I28" i="59" s="1"/>
  <c r="I29" i="59" a="1"/>
  <c r="I29" i="59" s="1"/>
  <c r="I30" i="59" a="1"/>
  <c r="I30" i="59" s="1"/>
  <c r="I31" i="59" a="1"/>
  <c r="I31" i="59" s="1"/>
  <c r="I32" i="59" a="1"/>
  <c r="I32" i="59" s="1"/>
  <c r="I33" i="59" a="1"/>
  <c r="I33" i="59" s="1"/>
  <c r="I34" i="59" a="1"/>
  <c r="I34" i="59" s="1"/>
  <c r="I35" i="59" a="1"/>
  <c r="I35" i="59" s="1"/>
  <c r="I36" i="59" a="1"/>
  <c r="I36" i="59" s="1"/>
  <c r="I37" i="59" a="1"/>
  <c r="I37" i="59" s="1"/>
  <c r="I38" i="59" a="1"/>
  <c r="I38" i="59" s="1"/>
  <c r="I39" i="59" a="1"/>
  <c r="I39" i="59" s="1"/>
  <c r="I40" i="59" a="1"/>
  <c r="I40" i="59" s="1"/>
  <c r="I41" i="59" a="1"/>
  <c r="I41" i="59" s="1"/>
  <c r="I42" i="59" a="1"/>
  <c r="I42" i="59" s="1"/>
  <c r="I43" i="59" a="1"/>
  <c r="I43" i="59" s="1"/>
  <c r="I44" i="59" a="1"/>
  <c r="I44" i="59" s="1"/>
  <c r="I45" i="59" a="1"/>
  <c r="I45" i="59" s="1"/>
  <c r="I46" i="59" a="1"/>
  <c r="I46" i="59" s="1"/>
  <c r="I47" i="59" a="1"/>
  <c r="I47" i="59" s="1"/>
  <c r="I48" i="59" a="1"/>
  <c r="I48" i="59" s="1"/>
  <c r="I49" i="59" a="1"/>
  <c r="I49" i="59" s="1"/>
  <c r="I50" i="59" a="1"/>
  <c r="I50" i="59" s="1"/>
  <c r="I51" i="59" a="1"/>
  <c r="I51" i="59" s="1"/>
  <c r="I2" i="59" a="1"/>
  <c r="I2" i="59" s="1"/>
  <c r="H3" i="59" a="1"/>
  <c r="H3" i="59" s="1"/>
  <c r="H4" i="59" a="1"/>
  <c r="H4" i="59" s="1"/>
  <c r="H5" i="59" a="1"/>
  <c r="H5" i="59" s="1"/>
  <c r="H6" i="59" a="1"/>
  <c r="H6" i="59" s="1"/>
  <c r="H7" i="59" a="1"/>
  <c r="H7" i="59" s="1"/>
  <c r="H8" i="59" a="1"/>
  <c r="H8" i="59" s="1"/>
  <c r="H9" i="59" a="1"/>
  <c r="H9" i="59" s="1"/>
  <c r="H10" i="59" a="1"/>
  <c r="H10" i="59" s="1"/>
  <c r="H11" i="59" a="1"/>
  <c r="H11" i="59" s="1"/>
  <c r="H12" i="59" a="1"/>
  <c r="H12" i="59" s="1"/>
  <c r="H13" i="59" a="1"/>
  <c r="H13" i="59" s="1"/>
  <c r="H14" i="59" a="1"/>
  <c r="H14" i="59" s="1"/>
  <c r="H15" i="59" a="1"/>
  <c r="H15" i="59" s="1"/>
  <c r="H16" i="59" a="1"/>
  <c r="H16" i="59" s="1"/>
  <c r="H17" i="59" a="1"/>
  <c r="H17" i="59" s="1"/>
  <c r="H18" i="59" a="1"/>
  <c r="H18" i="59" s="1"/>
  <c r="H19" i="59" a="1"/>
  <c r="H19" i="59" s="1"/>
  <c r="H20" i="59" a="1"/>
  <c r="H20" i="59" s="1"/>
  <c r="H21" i="59" a="1"/>
  <c r="H21" i="59" s="1"/>
  <c r="H22" i="59" a="1"/>
  <c r="H22" i="59" s="1"/>
  <c r="H23" i="59" a="1"/>
  <c r="H23" i="59" s="1"/>
  <c r="H24" i="59" a="1"/>
  <c r="H24" i="59" s="1"/>
  <c r="H25" i="59" a="1"/>
  <c r="H25" i="59" s="1"/>
  <c r="H26" i="59" a="1"/>
  <c r="H26" i="59" s="1"/>
  <c r="H27" i="59" a="1"/>
  <c r="H27" i="59" s="1"/>
  <c r="H28" i="59" a="1"/>
  <c r="H28" i="59" s="1"/>
  <c r="H29" i="59" a="1"/>
  <c r="H29" i="59" s="1"/>
  <c r="H30" i="59" a="1"/>
  <c r="H30" i="59" s="1"/>
  <c r="H31" i="59" a="1"/>
  <c r="H31" i="59" s="1"/>
  <c r="H32" i="59" a="1"/>
  <c r="H32" i="59" s="1"/>
  <c r="H33" i="59" a="1"/>
  <c r="H33" i="59" s="1"/>
  <c r="H34" i="59" a="1"/>
  <c r="H34" i="59" s="1"/>
  <c r="H35" i="59" a="1"/>
  <c r="H35" i="59" s="1"/>
  <c r="H36" i="59" a="1"/>
  <c r="H36" i="59" s="1"/>
  <c r="H37" i="59" a="1"/>
  <c r="H37" i="59" s="1"/>
  <c r="H38" i="59" a="1"/>
  <c r="H38" i="59" s="1"/>
  <c r="H39" i="59" a="1"/>
  <c r="H39" i="59" s="1"/>
  <c r="H40" i="59" a="1"/>
  <c r="H40" i="59" s="1"/>
  <c r="H41" i="59" a="1"/>
  <c r="H41" i="59" s="1"/>
  <c r="H42" i="59" a="1"/>
  <c r="H42" i="59" s="1"/>
  <c r="H43" i="59" a="1"/>
  <c r="H43" i="59" s="1"/>
  <c r="H44" i="59" a="1"/>
  <c r="H44" i="59" s="1"/>
  <c r="H45" i="59" a="1"/>
  <c r="H45" i="59" s="1"/>
  <c r="H46" i="59" a="1"/>
  <c r="H46" i="59" s="1"/>
  <c r="H47" i="59" a="1"/>
  <c r="H47" i="59" s="1"/>
  <c r="H48" i="59" a="1"/>
  <c r="H48" i="59" s="1"/>
  <c r="H49" i="59" a="1"/>
  <c r="H49" i="59" s="1"/>
  <c r="H50" i="59" a="1"/>
  <c r="H50" i="59" s="1"/>
  <c r="H51" i="59" a="1"/>
  <c r="H51" i="59" s="1"/>
  <c r="H2" i="59" a="1"/>
  <c r="H2" i="59" s="1"/>
  <c r="Y28" i="49"/>
  <c r="Y29" i="49"/>
  <c r="Y30" i="49"/>
  <c r="Y31" i="49"/>
  <c r="Y32" i="49"/>
  <c r="Q28" i="49"/>
  <c r="Q29" i="49"/>
  <c r="Q30" i="49"/>
  <c r="Q31" i="49"/>
  <c r="Q32" i="49"/>
  <c r="U28" i="49"/>
  <c r="U29" i="49"/>
  <c r="U30" i="49"/>
  <c r="U31" i="49"/>
  <c r="U32" i="49"/>
  <c r="G32" i="49"/>
  <c r="G31" i="49"/>
  <c r="G30" i="49"/>
  <c r="G29" i="49"/>
  <c r="G28" i="49"/>
  <c r="C28" i="49"/>
  <c r="C29" i="49"/>
  <c r="C30" i="49"/>
  <c r="C31" i="49"/>
  <c r="C32" i="49"/>
  <c r="A28" i="49"/>
  <c r="A29" i="49"/>
  <c r="A30" i="49"/>
  <c r="A31" i="49"/>
  <c r="A32" i="49"/>
  <c r="K43" i="59" l="1"/>
  <c r="L43" i="59" s="1"/>
  <c r="K51" i="59"/>
  <c r="L51" i="59" s="1"/>
  <c r="K50" i="59"/>
  <c r="L50" i="59" s="1"/>
  <c r="K31" i="59"/>
  <c r="L31" i="59" s="1"/>
  <c r="K30" i="59"/>
  <c r="L30" i="59" s="1"/>
  <c r="K49" i="59"/>
  <c r="L49" i="59" s="1"/>
  <c r="K42" i="59"/>
  <c r="L42" i="59" s="1"/>
  <c r="K29" i="59"/>
  <c r="L29" i="59" s="1"/>
  <c r="K24" i="59"/>
  <c r="L24" i="59" s="1"/>
  <c r="K8" i="59"/>
  <c r="L8" i="59" s="1"/>
  <c r="K46" i="59"/>
  <c r="L46" i="59" s="1"/>
  <c r="K18" i="59"/>
  <c r="L18" i="59" s="1"/>
  <c r="K28" i="59"/>
  <c r="L28" i="59" s="1"/>
  <c r="K23" i="59"/>
  <c r="L23" i="59" s="1"/>
  <c r="K12" i="59"/>
  <c r="L12" i="59" s="1"/>
  <c r="K4" i="59"/>
  <c r="L4" i="59" s="1"/>
  <c r="K27" i="59"/>
  <c r="L27" i="59" s="1"/>
  <c r="K19" i="59"/>
  <c r="L19" i="59" s="1"/>
  <c r="K3" i="59"/>
  <c r="L3" i="59" s="1"/>
  <c r="K15" i="59"/>
  <c r="L15" i="59" s="1"/>
  <c r="K11" i="59"/>
  <c r="L11" i="59" s="1"/>
  <c r="K21" i="59"/>
  <c r="L21" i="59" s="1"/>
  <c r="K14" i="59"/>
  <c r="L14" i="59" s="1"/>
  <c r="K10" i="59"/>
  <c r="L10" i="59" s="1"/>
  <c r="K17" i="59"/>
  <c r="L17" i="59" s="1"/>
  <c r="K5" i="59"/>
  <c r="L5" i="59" s="1"/>
  <c r="K16" i="59"/>
  <c r="L16" i="59" s="1"/>
  <c r="K26" i="59"/>
  <c r="L26" i="59" s="1"/>
  <c r="K22" i="59"/>
  <c r="L22" i="59" s="1"/>
  <c r="K48" i="59"/>
  <c r="L48" i="59" s="1"/>
  <c r="K25" i="59"/>
  <c r="L25" i="59" s="1"/>
  <c r="K6" i="59"/>
  <c r="L6" i="59" s="1"/>
  <c r="K44" i="59"/>
  <c r="L44" i="59" s="1"/>
  <c r="K40" i="59"/>
  <c r="L40" i="59" s="1"/>
  <c r="K36" i="59"/>
  <c r="L36" i="59" s="1"/>
  <c r="K9" i="59"/>
  <c r="L9" i="59" s="1"/>
  <c r="K20" i="59"/>
  <c r="L20" i="59" s="1"/>
  <c r="K2" i="59"/>
  <c r="K7" i="59" l="1"/>
  <c r="L7" i="59" s="1"/>
  <c r="K37" i="59"/>
  <c r="L37" i="59" s="1"/>
  <c r="K13" i="59"/>
  <c r="L13" i="59" s="1"/>
  <c r="K38" i="59"/>
  <c r="L38" i="59" s="1"/>
  <c r="K47" i="59"/>
  <c r="L47" i="59" s="1"/>
  <c r="K41" i="59"/>
  <c r="L41" i="59" s="1"/>
  <c r="K39" i="59"/>
  <c r="L39" i="59" s="1"/>
  <c r="K34" i="59"/>
  <c r="L34" i="59" s="1"/>
  <c r="K45" i="59"/>
  <c r="L45" i="59" s="1"/>
  <c r="K32" i="59"/>
  <c r="L32" i="59" s="1"/>
  <c r="K33" i="59"/>
  <c r="L33" i="59" s="1"/>
  <c r="K35" i="59"/>
  <c r="L35" i="59" s="1"/>
  <c r="L2" i="59"/>
  <c r="B2" i="60" a="1"/>
  <c r="A24" i="49" l="1"/>
  <c r="A23" i="49"/>
  <c r="A25" i="49"/>
  <c r="A26" i="49"/>
  <c r="A27" i="49"/>
  <c r="A21" i="49"/>
  <c r="A22" i="49"/>
  <c r="A20" i="49"/>
  <c r="A18" i="49"/>
  <c r="A19" i="49"/>
  <c r="C2" i="60" a="1"/>
  <c r="F2" i="60" a="1"/>
  <c r="F2" i="60" s="1"/>
  <c r="E2" i="60" a="1"/>
  <c r="E2" i="60" s="1"/>
  <c r="G2" i="60" a="1"/>
  <c r="D2" i="60" a="1"/>
  <c r="D2" i="60" s="1"/>
  <c r="H2" i="60" a="1"/>
  <c r="I2" i="60" a="1"/>
  <c r="A2" i="60" a="1"/>
  <c r="B2" i="60"/>
  <c r="A12" i="49" s="1"/>
  <c r="A14" i="49"/>
  <c r="A16" i="49"/>
  <c r="A15" i="49"/>
  <c r="A17" i="49"/>
  <c r="A13" i="49"/>
  <c r="Q13" i="49" l="1"/>
  <c r="Q24" i="49"/>
  <c r="Q25" i="49"/>
  <c r="Q21" i="49"/>
  <c r="Q22" i="49"/>
  <c r="Q23" i="49"/>
  <c r="Q26" i="49"/>
  <c r="Q27" i="49"/>
  <c r="Q20" i="49"/>
  <c r="G14" i="49"/>
  <c r="G23" i="49"/>
  <c r="G22" i="49"/>
  <c r="G26" i="49"/>
  <c r="G25" i="49"/>
  <c r="G24" i="49"/>
  <c r="G21" i="49"/>
  <c r="G20" i="49"/>
  <c r="G27" i="49"/>
  <c r="C13" i="49"/>
  <c r="C27" i="49"/>
  <c r="C24" i="49"/>
  <c r="C25" i="49"/>
  <c r="C26" i="49"/>
  <c r="C23" i="49"/>
  <c r="C22" i="49"/>
  <c r="C20" i="49"/>
  <c r="C21" i="49"/>
  <c r="U16" i="49"/>
  <c r="U22" i="49"/>
  <c r="U20" i="49"/>
  <c r="U21" i="49"/>
  <c r="U23" i="49"/>
  <c r="U24" i="49"/>
  <c r="U26" i="49"/>
  <c r="U27" i="49"/>
  <c r="U25" i="49"/>
  <c r="Y13" i="49"/>
  <c r="Y20" i="49"/>
  <c r="Y21" i="49"/>
  <c r="Y24" i="49"/>
  <c r="Y25" i="49"/>
  <c r="Y26" i="49"/>
  <c r="Y27" i="49"/>
  <c r="Y22" i="49"/>
  <c r="Y23" i="49"/>
  <c r="C14" i="49"/>
  <c r="Y18" i="49"/>
  <c r="U17" i="49"/>
  <c r="G15" i="49"/>
  <c r="H2" i="60"/>
  <c r="Q12" i="49" s="1"/>
  <c r="Q19" i="49"/>
  <c r="G17" i="49"/>
  <c r="U15" i="49"/>
  <c r="C16" i="49"/>
  <c r="Q17" i="49"/>
  <c r="Q14" i="49"/>
  <c r="Y17" i="49"/>
  <c r="Y16" i="49"/>
  <c r="Y15" i="49"/>
  <c r="Y14" i="49"/>
  <c r="U18" i="49"/>
  <c r="U19" i="49"/>
  <c r="I2" i="60"/>
  <c r="Y12" i="49" s="1"/>
  <c r="Y19" i="49"/>
  <c r="U13" i="49"/>
  <c r="G18" i="49"/>
  <c r="G19" i="49"/>
  <c r="G16" i="49"/>
  <c r="U14" i="49"/>
  <c r="G13" i="49"/>
  <c r="C18" i="49"/>
  <c r="C19" i="49"/>
  <c r="C17" i="49"/>
  <c r="Q16" i="49"/>
  <c r="C15" i="49"/>
  <c r="Q18" i="49"/>
  <c r="Q15" i="49"/>
  <c r="G2" i="60"/>
  <c r="G12" i="49" s="1"/>
  <c r="C2" i="60"/>
  <c r="C12" i="49" s="1"/>
  <c r="A2" i="60"/>
  <c r="U12" i="49" s="1"/>
  <c r="AH13" i="49"/>
  <c r="AH14" i="49"/>
  <c r="AH12" i="49"/>
  <c r="AH15" i="49"/>
  <c r="AH17" i="49"/>
  <c r="AH16" i="49"/>
  <c r="AJ13" i="49"/>
  <c r="AJ14" i="49"/>
  <c r="AJ15" i="49"/>
  <c r="AJ17" i="49"/>
  <c r="AJ12" i="49"/>
  <c r="AK16" i="49"/>
  <c r="V33" i="49"/>
  <c r="AK17" i="49"/>
  <c r="AK13" i="49"/>
  <c r="Y33" i="49" l="1"/>
  <c r="AJ16" i="49"/>
  <c r="AJ21" i="49" s="1"/>
  <c r="AH21" i="49"/>
  <c r="AL13" i="49"/>
  <c r="AL17" i="49"/>
  <c r="AK14" i="49"/>
  <c r="AL14" i="49" s="1"/>
  <c r="W33" i="49"/>
  <c r="AK15" i="49"/>
  <c r="AL15" i="49" s="1"/>
  <c r="AK12" i="49"/>
  <c r="AL12" i="49" s="1"/>
  <c r="U33" i="49"/>
  <c r="U34" i="49" l="1"/>
  <c r="AL16" i="49"/>
  <c r="AK21" i="49"/>
  <c r="AL21" i="49" l="1"/>
  <c r="D35" i="4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2" authorId="0" shapeId="0" xr:uid="{BCE9424D-14F7-46E3-A431-1F50E22ED639}">
      <text>
        <r>
          <rPr>
            <b/>
            <sz val="11"/>
            <color indexed="81"/>
            <rFont val="Tahoma"/>
            <family val="2"/>
          </rPr>
          <t>Administrator: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細明體"/>
            <family val="3"/>
            <charset val="136"/>
          </rPr>
          <t>假別=22公出
大於1天或大於4小時或大於20km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<sst xmlns="http://schemas.openxmlformats.org/spreadsheetml/2006/main" count="162" uniqueCount="118">
  <si>
    <t>交通費</t>
    <phoneticPr fontId="1" type="noConversion"/>
  </si>
  <si>
    <t>:</t>
    <phoneticPr fontId="13" type="noConversion"/>
  </si>
  <si>
    <t>天</t>
    <phoneticPr fontId="13" type="noConversion"/>
  </si>
  <si>
    <t>元</t>
    <phoneticPr fontId="13" type="noConversion"/>
  </si>
  <si>
    <t>合計</t>
    <phoneticPr fontId="13" type="noConversion"/>
  </si>
  <si>
    <t>:</t>
    <phoneticPr fontId="13" type="noConversion"/>
  </si>
  <si>
    <t>WBS元素</t>
    <phoneticPr fontId="1" type="noConversion"/>
  </si>
  <si>
    <t>天數</t>
    <phoneticPr fontId="1" type="noConversion"/>
  </si>
  <si>
    <t>中文名稱</t>
    <phoneticPr fontId="1" type="noConversion"/>
  </si>
  <si>
    <t>，</t>
    <phoneticPr fontId="1" type="noConversion"/>
  </si>
  <si>
    <r>
      <t>A</t>
    </r>
    <r>
      <rPr>
        <sz val="16"/>
        <color indexed="9"/>
        <rFont val="新細明體"/>
        <family val="1"/>
        <charset val="136"/>
      </rPr>
      <t>：主變</t>
    </r>
  </si>
  <si>
    <r>
      <t>D</t>
    </r>
    <r>
      <rPr>
        <sz val="16"/>
        <color indexed="9"/>
        <rFont val="新細明體"/>
        <family val="1"/>
        <charset val="136"/>
      </rPr>
      <t>：斷路器</t>
    </r>
  </si>
  <si>
    <r>
      <t>E</t>
    </r>
    <r>
      <rPr>
        <sz val="16"/>
        <color indexed="9"/>
        <rFont val="新細明體"/>
        <family val="1"/>
        <charset val="136"/>
      </rPr>
      <t>：滙流排及其他設備</t>
    </r>
  </si>
  <si>
    <r>
      <t>J</t>
    </r>
    <r>
      <rPr>
        <sz val="16"/>
        <color indexed="9"/>
        <rFont val="新細明體"/>
        <family val="1"/>
        <charset val="136"/>
      </rPr>
      <t>：變電所綠化</t>
    </r>
  </si>
  <si>
    <r>
      <t>N</t>
    </r>
    <r>
      <rPr>
        <sz val="16"/>
        <color indexed="9"/>
        <rFont val="新細明體"/>
        <family val="1"/>
        <charset val="136"/>
      </rPr>
      <t>：消防</t>
    </r>
  </si>
  <si>
    <r>
      <t>B</t>
    </r>
    <r>
      <rPr>
        <sz val="16"/>
        <color indexed="9"/>
        <rFont val="新細明體"/>
        <family val="1"/>
        <charset val="136"/>
      </rPr>
      <t>：照明</t>
    </r>
    <phoneticPr fontId="1" type="noConversion"/>
  </si>
  <si>
    <t>外勤費</t>
    <phoneticPr fontId="1" type="noConversion"/>
  </si>
  <si>
    <t>交通+外勤費合計</t>
    <phoneticPr fontId="1" type="noConversion"/>
  </si>
  <si>
    <t>←紅底白字體請勿自行用手動輸入，函數已設定好，請勿自行修改</t>
    <phoneticPr fontId="1" type="noConversion"/>
  </si>
  <si>
    <r>
      <t xml:space="preserve"> </t>
    </r>
    <r>
      <rPr>
        <sz val="22"/>
        <color indexed="8"/>
        <rFont val="標楷體"/>
        <family val="4"/>
        <charset val="136"/>
      </rPr>
      <t>臺灣電力公司台中供電區營運處</t>
    </r>
    <phoneticPr fontId="1" type="noConversion"/>
  </si>
  <si>
    <r>
      <rPr>
        <sz val="12"/>
        <color indexed="8"/>
        <rFont val="標楷體"/>
        <family val="4"/>
        <charset val="136"/>
      </rPr>
      <t>所屬部門：</t>
    </r>
    <phoneticPr fontId="1" type="noConversion"/>
  </si>
  <si>
    <r>
      <rPr>
        <b/>
        <sz val="22"/>
        <color indexed="8"/>
        <rFont val="標楷體"/>
        <family val="4"/>
        <charset val="136"/>
      </rPr>
      <t>外勤費報支單</t>
    </r>
    <phoneticPr fontId="1" type="noConversion"/>
  </si>
  <si>
    <r>
      <rPr>
        <sz val="12"/>
        <color indexed="8"/>
        <rFont val="標楷體"/>
        <family val="4"/>
        <charset val="136"/>
      </rPr>
      <t>環會代碼：</t>
    </r>
    <phoneticPr fontId="1" type="noConversion"/>
  </si>
  <si>
    <r>
      <rPr>
        <sz val="12"/>
        <rFont val="標楷體"/>
        <family val="4"/>
        <charset val="136"/>
      </rPr>
      <t>在</t>
    </r>
    <phoneticPr fontId="1" type="noConversion"/>
  </si>
  <si>
    <r>
      <rPr>
        <sz val="12"/>
        <rFont val="標楷體"/>
        <family val="4"/>
        <charset val="136"/>
      </rPr>
      <t>項下列支</t>
    </r>
    <phoneticPr fontId="1" type="noConversion"/>
  </si>
  <si>
    <r>
      <rPr>
        <sz val="11"/>
        <color indexed="8"/>
        <rFont val="標楷體"/>
        <family val="4"/>
        <charset val="136"/>
      </rPr>
      <t>姓名代號：</t>
    </r>
    <phoneticPr fontId="1" type="noConversion"/>
  </si>
  <si>
    <r>
      <rPr>
        <sz val="13"/>
        <color indexed="8"/>
        <rFont val="標楷體"/>
        <family val="4"/>
        <charset val="136"/>
      </rPr>
      <t>外勤日期及時間</t>
    </r>
    <phoneticPr fontId="1" type="noConversion"/>
  </si>
  <si>
    <r>
      <rPr>
        <sz val="11"/>
        <color indexed="8"/>
        <rFont val="標楷體"/>
        <family val="4"/>
        <charset val="136"/>
      </rPr>
      <t>里程</t>
    </r>
    <phoneticPr fontId="1" type="noConversion"/>
  </si>
  <si>
    <r>
      <rPr>
        <sz val="11"/>
        <color indexed="8"/>
        <rFont val="標楷體"/>
        <family val="4"/>
        <charset val="136"/>
      </rPr>
      <t>步行津貼</t>
    </r>
    <phoneticPr fontId="1" type="noConversion"/>
  </si>
  <si>
    <r>
      <rPr>
        <sz val="13"/>
        <color indexed="8"/>
        <rFont val="標楷體"/>
        <family val="4"/>
        <charset val="136"/>
      </rPr>
      <t>交通費</t>
    </r>
    <phoneticPr fontId="1" type="noConversion"/>
  </si>
  <si>
    <r>
      <rPr>
        <sz val="13"/>
        <color indexed="8"/>
        <rFont val="標楷體"/>
        <family val="4"/>
        <charset val="136"/>
      </rPr>
      <t>誤餐費</t>
    </r>
    <phoneticPr fontId="1" type="noConversion"/>
  </si>
  <si>
    <r>
      <rPr>
        <sz val="13"/>
        <color indexed="8"/>
        <rFont val="標楷體"/>
        <family val="4"/>
        <charset val="136"/>
      </rPr>
      <t>外勤費</t>
    </r>
    <phoneticPr fontId="1" type="noConversion"/>
  </si>
  <si>
    <r>
      <rPr>
        <sz val="13"/>
        <color indexed="8"/>
        <rFont val="標楷體"/>
        <family val="4"/>
        <charset val="136"/>
      </rPr>
      <t>金額</t>
    </r>
    <phoneticPr fontId="1" type="noConversion"/>
  </si>
  <si>
    <r>
      <rPr>
        <sz val="14"/>
        <color indexed="8"/>
        <rFont val="標楷體"/>
        <family val="4"/>
        <charset val="136"/>
      </rPr>
      <t>元整</t>
    </r>
    <phoneticPr fontId="1" type="noConversion"/>
  </si>
  <si>
    <r>
      <rPr>
        <sz val="11"/>
        <color indexed="8"/>
        <rFont val="標楷體"/>
        <family val="4"/>
        <charset val="136"/>
      </rPr>
      <t>職</t>
    </r>
    <r>
      <rPr>
        <sz val="11"/>
        <color indexed="8"/>
        <rFont val="Times New Roman"/>
        <family val="1"/>
      </rPr>
      <t xml:space="preserve">    </t>
    </r>
    <r>
      <rPr>
        <sz val="11"/>
        <color indexed="8"/>
        <rFont val="標楷體"/>
        <family val="4"/>
        <charset val="136"/>
      </rPr>
      <t>等：</t>
    </r>
    <phoneticPr fontId="1" type="noConversion"/>
  </si>
  <si>
    <r>
      <rPr>
        <sz val="11"/>
        <color indexed="8"/>
        <rFont val="標楷體"/>
        <family val="4"/>
        <charset val="136"/>
      </rPr>
      <t>職</t>
    </r>
    <r>
      <rPr>
        <sz val="11"/>
        <color indexed="8"/>
        <rFont val="Times New Roman"/>
        <family val="1"/>
      </rPr>
      <t xml:space="preserve">    </t>
    </r>
    <r>
      <rPr>
        <sz val="11"/>
        <color indexed="8"/>
        <rFont val="標楷體"/>
        <family val="4"/>
        <charset val="136"/>
      </rPr>
      <t>稱：</t>
    </r>
    <phoneticPr fontId="1" type="noConversion"/>
  </si>
  <si>
    <r>
      <rPr>
        <sz val="11"/>
        <color indexed="8"/>
        <rFont val="標楷體"/>
        <family val="4"/>
        <charset val="136"/>
      </rPr>
      <t>姓</t>
    </r>
    <r>
      <rPr>
        <sz val="11"/>
        <color indexed="8"/>
        <rFont val="Times New Roman"/>
        <family val="1"/>
      </rPr>
      <t xml:space="preserve">    </t>
    </r>
    <r>
      <rPr>
        <sz val="11"/>
        <color indexed="8"/>
        <rFont val="標楷體"/>
        <family val="4"/>
        <charset val="136"/>
      </rPr>
      <t>名：</t>
    </r>
    <phoneticPr fontId="1" type="noConversion"/>
  </si>
  <si>
    <r>
      <rPr>
        <sz val="13"/>
        <color indexed="8"/>
        <rFont val="標楷體"/>
        <family val="4"/>
        <charset val="136"/>
      </rPr>
      <t>外</t>
    </r>
    <r>
      <rPr>
        <sz val="13"/>
        <color indexed="8"/>
        <rFont val="Times New Roman"/>
        <family val="1"/>
      </rPr>
      <t xml:space="preserve"> </t>
    </r>
    <r>
      <rPr>
        <sz val="13"/>
        <color indexed="8"/>
        <rFont val="標楷體"/>
        <family val="4"/>
        <charset val="136"/>
      </rPr>
      <t>勤</t>
    </r>
    <r>
      <rPr>
        <sz val="13"/>
        <color indexed="8"/>
        <rFont val="Times New Roman"/>
        <family val="1"/>
      </rPr>
      <t xml:space="preserve"> </t>
    </r>
    <r>
      <rPr>
        <sz val="13"/>
        <color indexed="8"/>
        <rFont val="標楷體"/>
        <family val="4"/>
        <charset val="136"/>
      </rPr>
      <t>地</t>
    </r>
    <r>
      <rPr>
        <sz val="13"/>
        <color indexed="8"/>
        <rFont val="Times New Roman"/>
        <family val="1"/>
      </rPr>
      <t xml:space="preserve"> </t>
    </r>
    <r>
      <rPr>
        <sz val="13"/>
        <color indexed="8"/>
        <rFont val="標楷體"/>
        <family val="4"/>
        <charset val="136"/>
      </rPr>
      <t>點</t>
    </r>
    <r>
      <rPr>
        <sz val="13"/>
        <color indexed="8"/>
        <rFont val="Times New Roman"/>
        <family val="1"/>
      </rPr>
      <t xml:space="preserve"> </t>
    </r>
    <r>
      <rPr>
        <sz val="13"/>
        <color indexed="8"/>
        <rFont val="標楷體"/>
        <family val="4"/>
        <charset val="136"/>
      </rPr>
      <t>及</t>
    </r>
    <r>
      <rPr>
        <sz val="13"/>
        <color indexed="8"/>
        <rFont val="Times New Roman"/>
        <family val="1"/>
      </rPr>
      <t xml:space="preserve"> </t>
    </r>
    <r>
      <rPr>
        <sz val="13"/>
        <color indexed="8"/>
        <rFont val="標楷體"/>
        <family val="4"/>
        <charset val="136"/>
      </rPr>
      <t>工</t>
    </r>
    <r>
      <rPr>
        <sz val="13"/>
        <color indexed="8"/>
        <rFont val="Times New Roman"/>
        <family val="1"/>
      </rPr>
      <t xml:space="preserve"> </t>
    </r>
    <r>
      <rPr>
        <sz val="13"/>
        <color indexed="8"/>
        <rFont val="標楷體"/>
        <family val="4"/>
        <charset val="136"/>
      </rPr>
      <t>作</t>
    </r>
    <r>
      <rPr>
        <sz val="13"/>
        <color indexed="8"/>
        <rFont val="Times New Roman"/>
        <family val="1"/>
      </rPr>
      <t xml:space="preserve"> </t>
    </r>
    <r>
      <rPr>
        <sz val="13"/>
        <color indexed="8"/>
        <rFont val="標楷體"/>
        <family val="4"/>
        <charset val="136"/>
      </rPr>
      <t>記</t>
    </r>
    <r>
      <rPr>
        <sz val="13"/>
        <color indexed="8"/>
        <rFont val="Times New Roman"/>
        <family val="1"/>
      </rPr>
      <t xml:space="preserve"> </t>
    </r>
    <r>
      <rPr>
        <sz val="13"/>
        <color indexed="8"/>
        <rFont val="標楷體"/>
        <family val="4"/>
        <charset val="136"/>
      </rPr>
      <t>要</t>
    </r>
    <phoneticPr fontId="1" type="noConversion"/>
  </si>
  <si>
    <r>
      <t>(</t>
    </r>
    <r>
      <rPr>
        <sz val="11"/>
        <color indexed="8"/>
        <rFont val="標楷體"/>
        <family val="4"/>
        <charset val="136"/>
      </rPr>
      <t>單程</t>
    </r>
    <r>
      <rPr>
        <sz val="11"/>
        <color indexed="8"/>
        <rFont val="Times New Roman"/>
        <family val="1"/>
      </rPr>
      <t>)</t>
    </r>
    <phoneticPr fontId="1" type="noConversion"/>
  </si>
  <si>
    <r>
      <t>(</t>
    </r>
    <r>
      <rPr>
        <sz val="12"/>
        <color indexed="8"/>
        <rFont val="標楷體"/>
        <family val="4"/>
        <charset val="136"/>
      </rPr>
      <t>單程</t>
    </r>
    <r>
      <rPr>
        <sz val="12"/>
        <color indexed="8"/>
        <rFont val="Times New Roman"/>
        <family val="1"/>
      </rPr>
      <t>)</t>
    </r>
    <phoneticPr fontId="1" type="noConversion"/>
  </si>
  <si>
    <r>
      <rPr>
        <b/>
        <sz val="12"/>
        <color indexed="8"/>
        <rFont val="標楷體"/>
        <family val="4"/>
        <charset val="136"/>
      </rPr>
      <t>小</t>
    </r>
    <r>
      <rPr>
        <b/>
        <sz val="12"/>
        <color indexed="8"/>
        <rFont val="Times New Roman"/>
        <family val="1"/>
      </rPr>
      <t xml:space="preserve">    </t>
    </r>
    <r>
      <rPr>
        <b/>
        <sz val="12"/>
        <color indexed="8"/>
        <rFont val="標楷體"/>
        <family val="4"/>
        <charset val="136"/>
      </rPr>
      <t>計</t>
    </r>
    <phoneticPr fontId="1" type="noConversion"/>
  </si>
  <si>
    <r>
      <rPr>
        <b/>
        <sz val="12"/>
        <color indexed="8"/>
        <rFont val="標楷體"/>
        <family val="4"/>
        <charset val="136"/>
      </rPr>
      <t>合</t>
    </r>
    <r>
      <rPr>
        <b/>
        <sz val="12"/>
        <color indexed="8"/>
        <rFont val="Times New Roman"/>
        <family val="1"/>
      </rPr>
      <t xml:space="preserve">    </t>
    </r>
    <r>
      <rPr>
        <b/>
        <sz val="12"/>
        <color indexed="8"/>
        <rFont val="標楷體"/>
        <family val="4"/>
        <charset val="136"/>
      </rPr>
      <t>計</t>
    </r>
    <phoneticPr fontId="1" type="noConversion"/>
  </si>
  <si>
    <r>
      <rPr>
        <sz val="12"/>
        <color indexed="8"/>
        <rFont val="標楷體"/>
        <family val="4"/>
        <charset val="136"/>
      </rPr>
      <t>報支人</t>
    </r>
    <r>
      <rPr>
        <sz val="12"/>
        <color indexed="8"/>
        <rFont val="Times New Roman"/>
        <family val="1"/>
      </rPr>
      <t>:</t>
    </r>
    <phoneticPr fontId="1" type="noConversion"/>
  </si>
  <si>
    <r>
      <rPr>
        <sz val="12"/>
        <color indexed="8"/>
        <rFont val="標楷體"/>
        <family val="4"/>
        <charset val="136"/>
      </rPr>
      <t>主管核准暨機關長官或其授權代簽人</t>
    </r>
    <r>
      <rPr>
        <sz val="12"/>
        <color indexed="8"/>
        <rFont val="Times New Roman"/>
        <family val="1"/>
      </rPr>
      <t>:</t>
    </r>
    <phoneticPr fontId="1" type="noConversion"/>
  </si>
  <si>
    <r>
      <rPr>
        <sz val="9"/>
        <rFont val="標楷體"/>
        <family val="4"/>
        <charset val="136"/>
      </rPr>
      <t>領</t>
    </r>
    <r>
      <rPr>
        <sz val="9"/>
        <rFont val="Times New Roman"/>
        <family val="1"/>
      </rPr>
      <t xml:space="preserve"> </t>
    </r>
    <r>
      <rPr>
        <sz val="9"/>
        <rFont val="標楷體"/>
        <family val="4"/>
        <charset val="136"/>
      </rPr>
      <t>款</t>
    </r>
    <r>
      <rPr>
        <sz val="9"/>
        <rFont val="Times New Roman"/>
        <family val="1"/>
      </rPr>
      <t xml:space="preserve"> </t>
    </r>
    <r>
      <rPr>
        <sz val="9"/>
        <rFont val="標楷體"/>
        <family val="4"/>
        <charset val="136"/>
      </rPr>
      <t>人
簽</t>
    </r>
    <r>
      <rPr>
        <sz val="9"/>
        <rFont val="Times New Roman"/>
        <family val="1"/>
      </rPr>
      <t xml:space="preserve">    </t>
    </r>
    <r>
      <rPr>
        <sz val="9"/>
        <rFont val="標楷體"/>
        <family val="4"/>
        <charset val="136"/>
      </rPr>
      <t>章</t>
    </r>
    <phoneticPr fontId="1" type="noConversion"/>
  </si>
  <si>
    <r>
      <rPr>
        <sz val="8"/>
        <color indexed="8"/>
        <rFont val="標楷體"/>
        <family val="4"/>
        <charset val="136"/>
      </rPr>
      <t>主辦人事</t>
    </r>
    <r>
      <rPr>
        <sz val="8"/>
        <color indexed="8"/>
        <rFont val="Times New Roman"/>
        <family val="1"/>
      </rPr>
      <t>: (</t>
    </r>
    <r>
      <rPr>
        <sz val="8"/>
        <color indexed="8"/>
        <rFont val="標楷體"/>
        <family val="4"/>
        <charset val="136"/>
      </rPr>
      <t>考勤已登，職稱等級經核無誤</t>
    </r>
    <r>
      <rPr>
        <sz val="8"/>
        <color indexed="8"/>
        <rFont val="Times New Roman"/>
        <family val="1"/>
      </rPr>
      <t>)</t>
    </r>
    <phoneticPr fontId="1" type="noConversion"/>
  </si>
  <si>
    <r>
      <rPr>
        <sz val="11"/>
        <color indexed="8"/>
        <rFont val="標楷體"/>
        <family val="4"/>
        <charset val="136"/>
      </rPr>
      <t>茲</t>
    </r>
    <r>
      <rPr>
        <sz val="11"/>
        <color indexed="8"/>
        <rFont val="Times New Roman"/>
        <family val="1"/>
      </rPr>
      <t xml:space="preserve"> </t>
    </r>
    <r>
      <rPr>
        <sz val="11"/>
        <color indexed="8"/>
        <rFont val="標楷體"/>
        <family val="4"/>
        <charset val="136"/>
      </rPr>
      <t>收</t>
    </r>
    <r>
      <rPr>
        <sz val="11"/>
        <color indexed="8"/>
        <rFont val="Times New Roman"/>
        <family val="1"/>
      </rPr>
      <t xml:space="preserve"> </t>
    </r>
    <r>
      <rPr>
        <sz val="11"/>
        <color indexed="8"/>
        <rFont val="標楷體"/>
        <family val="4"/>
        <charset val="136"/>
      </rPr>
      <t>到</t>
    </r>
    <r>
      <rPr>
        <sz val="11"/>
        <color indexed="8"/>
        <rFont val="Times New Roman"/>
        <family val="1"/>
      </rPr>
      <t xml:space="preserve"> 
</t>
    </r>
    <r>
      <rPr>
        <sz val="11"/>
        <color indexed="8"/>
        <rFont val="標楷體"/>
        <family val="4"/>
        <charset val="136"/>
      </rPr>
      <t>新</t>
    </r>
    <r>
      <rPr>
        <sz val="11"/>
        <color indexed="8"/>
        <rFont val="Times New Roman"/>
        <family val="1"/>
      </rPr>
      <t xml:space="preserve"> </t>
    </r>
    <r>
      <rPr>
        <sz val="11"/>
        <color indexed="8"/>
        <rFont val="標楷體"/>
        <family val="4"/>
        <charset val="136"/>
      </rPr>
      <t>台</t>
    </r>
    <r>
      <rPr>
        <sz val="11"/>
        <color indexed="8"/>
        <rFont val="Times New Roman"/>
        <family val="1"/>
      </rPr>
      <t xml:space="preserve"> </t>
    </r>
    <r>
      <rPr>
        <sz val="11"/>
        <color indexed="8"/>
        <rFont val="標楷體"/>
        <family val="4"/>
        <charset val="136"/>
      </rPr>
      <t>幣</t>
    </r>
    <r>
      <rPr>
        <sz val="11"/>
        <color indexed="8"/>
        <rFont val="Times New Roman"/>
        <family val="1"/>
      </rPr>
      <t xml:space="preserve"> (</t>
    </r>
    <r>
      <rPr>
        <sz val="11"/>
        <color indexed="8"/>
        <rFont val="標楷體"/>
        <family val="4"/>
        <charset val="136"/>
      </rPr>
      <t>大寫</t>
    </r>
    <r>
      <rPr>
        <sz val="11"/>
        <color indexed="8"/>
        <rFont val="Times New Roman"/>
        <family val="1"/>
      </rPr>
      <t>)</t>
    </r>
    <phoneticPr fontId="1" type="noConversion"/>
  </si>
  <si>
    <r>
      <rPr>
        <sz val="12"/>
        <color indexed="8"/>
        <rFont val="標楷體"/>
        <family val="4"/>
        <charset val="136"/>
      </rPr>
      <t>課</t>
    </r>
    <r>
      <rPr>
        <sz val="12"/>
        <color indexed="8"/>
        <rFont val="Times New Roman"/>
        <family val="1"/>
      </rPr>
      <t xml:space="preserve">  </t>
    </r>
    <r>
      <rPr>
        <sz val="12"/>
        <color indexed="8"/>
        <rFont val="標楷體"/>
        <family val="4"/>
        <charset val="136"/>
      </rPr>
      <t>長</t>
    </r>
    <r>
      <rPr>
        <sz val="12"/>
        <color indexed="8"/>
        <rFont val="Times New Roman"/>
        <family val="1"/>
      </rPr>
      <t>:
(</t>
    </r>
    <r>
      <rPr>
        <sz val="12"/>
        <color indexed="8"/>
        <rFont val="標楷體"/>
        <family val="4"/>
        <charset val="136"/>
      </rPr>
      <t>複核</t>
    </r>
    <r>
      <rPr>
        <sz val="12"/>
        <color indexed="8"/>
        <rFont val="Times New Roman"/>
        <family val="1"/>
      </rPr>
      <t>)</t>
    </r>
    <phoneticPr fontId="1" type="noConversion"/>
  </si>
  <si>
    <t>DA</t>
  </si>
  <si>
    <t>DB</t>
  </si>
  <si>
    <t>DD</t>
  </si>
  <si>
    <t>DE</t>
  </si>
  <si>
    <t>DJ</t>
  </si>
  <si>
    <t>DN</t>
  </si>
  <si>
    <t>資控組</t>
    <phoneticPr fontId="1" type="noConversion"/>
  </si>
  <si>
    <t>項次</t>
  </si>
  <si>
    <t>請假起迄日期時間</t>
  </si>
  <si>
    <t>假 別</t>
  </si>
  <si>
    <t>天數</t>
  </si>
  <si>
    <t>時數</t>
  </si>
  <si>
    <t>事由</t>
  </si>
  <si>
    <t>詳細資料</t>
  </si>
  <si>
    <t>8-20km</t>
    <phoneticPr fontId="1" type="noConversion"/>
  </si>
  <si>
    <t>60km</t>
    <phoneticPr fontId="1" type="noConversion"/>
  </si>
  <si>
    <t>20-60km</t>
    <phoneticPr fontId="1" type="noConversion"/>
  </si>
  <si>
    <t>里程</t>
    <phoneticPr fontId="1" type="noConversion"/>
  </si>
  <si>
    <t>8-20km</t>
  </si>
  <si>
    <t>20-60km</t>
  </si>
  <si>
    <t>60km</t>
  </si>
  <si>
    <t>里程</t>
  </si>
  <si>
    <t>本處</t>
  </si>
  <si>
    <t>南投</t>
  </si>
  <si>
    <t>埔里</t>
  </si>
  <si>
    <t>中港</t>
  </si>
  <si>
    <t>中寮</t>
  </si>
  <si>
    <t>籃城</t>
  </si>
  <si>
    <t>中市</t>
  </si>
  <si>
    <t>全興</t>
  </si>
  <si>
    <t>霧峰</t>
  </si>
  <si>
    <t>彰濱</t>
  </si>
  <si>
    <t>工甲</t>
  </si>
  <si>
    <t>中清</t>
  </si>
  <si>
    <t>工乙</t>
  </si>
  <si>
    <t>翁子</t>
  </si>
  <si>
    <t>明秀</t>
  </si>
  <si>
    <t>彰化</t>
  </si>
  <si>
    <t>國安</t>
  </si>
  <si>
    <t>上城</t>
  </si>
  <si>
    <t>航太</t>
  </si>
  <si>
    <t>員東</t>
  </si>
  <si>
    <t>豐原</t>
  </si>
  <si>
    <t>茄荖</t>
  </si>
  <si>
    <t>黎明</t>
  </si>
  <si>
    <t>田中</t>
  </si>
  <si>
    <t>大雅</t>
  </si>
  <si>
    <t>大霞</t>
  </si>
  <si>
    <t>學田</t>
  </si>
  <si>
    <t>港工</t>
  </si>
  <si>
    <t>彰新</t>
  </si>
  <si>
    <t>鹿東</t>
  </si>
  <si>
    <t>塗城</t>
  </si>
  <si>
    <t>草港</t>
  </si>
  <si>
    <t>文心</t>
  </si>
  <si>
    <t>漢寶</t>
  </si>
  <si>
    <t>潭南</t>
  </si>
  <si>
    <t>福興</t>
  </si>
  <si>
    <t>中科</t>
  </si>
  <si>
    <t>線西</t>
  </si>
  <si>
    <t>處本部</t>
  </si>
  <si>
    <t>鹿西</t>
  </si>
  <si>
    <t>營運處</t>
  </si>
  <si>
    <t xml:space="preserve">C20254806G4 </t>
    <phoneticPr fontId="1" type="noConversion"/>
  </si>
  <si>
    <t>新伯公</t>
    <phoneticPr fontId="1" type="noConversion"/>
  </si>
  <si>
    <t>彰林</t>
    <phoneticPr fontId="1" type="noConversion"/>
  </si>
  <si>
    <t>彰工</t>
    <phoneticPr fontId="1" type="noConversion"/>
  </si>
  <si>
    <t>沃旭</t>
    <phoneticPr fontId="1" type="noConversion"/>
  </si>
  <si>
    <t>鹿港</t>
    <phoneticPr fontId="1" type="noConversion"/>
  </si>
  <si>
    <t>芳興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</si>
</sst>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-* #,##0_-;\-* #,##0_-;_-* &quot;-&quot;_-;_-@_-"/>
    <numFmt numFmtId="177" formatCode="[DBNum2][$-404]General"/>
    <numFmt numFmtId="178" formatCode="0_);[Red]\(0\)"/>
    <numFmt numFmtId="179" formatCode="_-* #,##0_-;\-* #,##0_-;_-* &quot; &quot;_-;_-@_-"/>
  </numFmts>
  <fonts count="45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4"/>
      <color indexed="8"/>
      <name val="標楷體"/>
      <family val="4"/>
      <charset val="136"/>
    </font>
    <font>
      <sz val="12"/>
      <color indexed="8"/>
      <name val="標楷體"/>
      <family val="4"/>
      <charset val="136"/>
    </font>
    <font>
      <sz val="11"/>
      <color indexed="8"/>
      <name val="標楷體"/>
      <family val="4"/>
      <charset val="136"/>
    </font>
    <font>
      <sz val="13"/>
      <color indexed="8"/>
      <name val="標楷體"/>
      <family val="4"/>
      <charset val="136"/>
    </font>
    <font>
      <sz val="22"/>
      <color indexed="8"/>
      <name val="標楷體"/>
      <family val="4"/>
      <charset val="136"/>
    </font>
    <font>
      <sz val="12"/>
      <name val="標楷體"/>
      <family val="4"/>
      <charset val="136"/>
    </font>
    <font>
      <b/>
      <sz val="22"/>
      <color indexed="8"/>
      <name val="標楷體"/>
      <family val="4"/>
      <charset val="136"/>
    </font>
    <font>
      <b/>
      <sz val="12"/>
      <color indexed="8"/>
      <name val="標楷體"/>
      <family val="4"/>
      <charset val="136"/>
    </font>
    <font>
      <sz val="13"/>
      <color indexed="8"/>
      <name val="Times New Roman"/>
      <family val="1"/>
    </font>
    <font>
      <b/>
      <sz val="16"/>
      <color indexed="8"/>
      <name val="標楷體"/>
      <family val="4"/>
      <charset val="136"/>
    </font>
    <font>
      <sz val="8"/>
      <name val="新細明體"/>
      <family val="1"/>
      <charset val="136"/>
    </font>
    <font>
      <sz val="9"/>
      <name val="新細明體"/>
      <family val="1"/>
      <charset val="136"/>
    </font>
    <font>
      <sz val="16"/>
      <color indexed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theme="1"/>
      <name val="Times New Roman"/>
      <family val="1"/>
    </font>
    <font>
      <sz val="16"/>
      <color theme="0"/>
      <name val="Calibri"/>
      <family val="2"/>
    </font>
    <font>
      <sz val="12"/>
      <color theme="0"/>
      <name val="新細明體"/>
      <family val="1"/>
      <charset val="136"/>
    </font>
    <font>
      <sz val="24"/>
      <color rgb="FFFF0000"/>
      <name val="新細明體"/>
      <family val="1"/>
      <charset val="136"/>
    </font>
    <font>
      <sz val="12"/>
      <name val="Times New Roman"/>
      <family val="1"/>
    </font>
    <font>
      <sz val="12"/>
      <color indexed="8"/>
      <name val="Times New Roman"/>
      <family val="1"/>
    </font>
    <font>
      <sz val="22"/>
      <color indexed="8"/>
      <name val="Times New Roman"/>
      <family val="1"/>
    </font>
    <font>
      <sz val="8"/>
      <name val="Times New Roman"/>
      <family val="1"/>
    </font>
    <font>
      <b/>
      <sz val="22"/>
      <color indexed="8"/>
      <name val="Times New Roman"/>
      <family val="1"/>
    </font>
    <font>
      <sz val="11"/>
      <color indexed="8"/>
      <name val="Times New Roman"/>
      <family val="1"/>
    </font>
    <font>
      <sz val="10"/>
      <color indexed="8"/>
      <name val="Times New Roman"/>
      <family val="1"/>
    </font>
    <font>
      <sz val="14"/>
      <color indexed="8"/>
      <name val="Times New Roman"/>
      <family val="1"/>
    </font>
    <font>
      <sz val="24"/>
      <color indexed="8"/>
      <name val="Times New Roman"/>
      <family val="1"/>
    </font>
    <font>
      <sz val="16"/>
      <color indexed="8"/>
      <name val="Times New Roman"/>
      <family val="1"/>
    </font>
    <font>
      <sz val="8"/>
      <color theme="1"/>
      <name val="Times New Roman"/>
      <family val="1"/>
    </font>
    <font>
      <b/>
      <sz val="12"/>
      <color indexed="8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sz val="9"/>
      <name val="標楷體"/>
      <family val="4"/>
      <charset val="136"/>
    </font>
    <font>
      <sz val="8"/>
      <color indexed="8"/>
      <name val="Times New Roman"/>
      <family val="1"/>
    </font>
    <font>
      <sz val="8"/>
      <color indexed="8"/>
      <name val="標楷體"/>
      <family val="4"/>
      <charset val="136"/>
    </font>
    <font>
      <sz val="12"/>
      <color rgb="FF000000"/>
      <name val="標楷體"/>
      <family val="4"/>
      <charset val="136"/>
    </font>
    <font>
      <b/>
      <sz val="12"/>
      <name val="新細明體"/>
      <family val="1"/>
      <charset val="136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1"/>
      <color indexed="81"/>
      <name val="細明體"/>
      <family val="3"/>
      <charset val="136"/>
    </font>
    <font>
      <sz val="12"/>
      <color rgb="FF00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</fills>
  <borders count="63">
    <border>
      <left/>
      <right/>
      <top/>
      <bottom/>
      <diagonal/>
    </border>
    <border>
      <left/>
      <right/>
      <top/>
      <bottom style="double">
        <color indexed="8"/>
      </bottom>
      <diagonal/>
    </border>
    <border>
      <left/>
      <right/>
      <top/>
      <bottom style="double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/>
      <top style="double">
        <color indexed="8"/>
      </top>
      <bottom/>
      <diagonal/>
    </border>
    <border>
      <left/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/>
      <top style="double">
        <color indexed="8"/>
      </top>
      <bottom/>
      <diagonal/>
    </border>
    <border>
      <left style="double">
        <color indexed="8"/>
      </left>
      <right/>
      <top/>
      <bottom style="thin">
        <color indexed="64"/>
      </bottom>
      <diagonal/>
    </border>
    <border>
      <left style="thin">
        <color indexed="8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8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double">
        <color indexed="8"/>
      </bottom>
      <diagonal/>
    </border>
    <border>
      <left/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thin">
        <color indexed="8"/>
      </top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 style="thin">
        <color indexed="8"/>
      </left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8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3">
    <xf numFmtId="0" fontId="0" fillId="0" borderId="0"/>
    <xf numFmtId="0" fontId="15" fillId="0" borderId="0">
      <alignment vertical="center"/>
    </xf>
    <xf numFmtId="0" fontId="15" fillId="0" borderId="0">
      <alignment vertical="center"/>
    </xf>
  </cellStyleXfs>
  <cellXfs count="195">
    <xf numFmtId="0" fontId="0" fillId="0" borderId="0" xfId="0"/>
    <xf numFmtId="0" fontId="3" fillId="0" borderId="0" xfId="0" applyFont="1"/>
    <xf numFmtId="178" fontId="3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178" fontId="0" fillId="0" borderId="0" xfId="0" applyNumberFormat="1"/>
    <xf numFmtId="0" fontId="3" fillId="0" borderId="0" xfId="0" applyFont="1" applyAlignment="1">
      <alignment vertical="center"/>
    </xf>
    <xf numFmtId="0" fontId="17" fillId="0" borderId="0" xfId="0" applyFont="1" applyAlignment="1">
      <alignment horizontal="center" vertical="center" shrinkToFit="1"/>
    </xf>
    <xf numFmtId="0" fontId="16" fillId="0" borderId="0" xfId="0" applyFont="1"/>
    <xf numFmtId="178" fontId="12" fillId="0" borderId="0" xfId="0" applyNumberFormat="1" applyFont="1"/>
    <xf numFmtId="0" fontId="12" fillId="0" borderId="0" xfId="0" applyFont="1"/>
    <xf numFmtId="178" fontId="17" fillId="0" borderId="0" xfId="0" applyNumberFormat="1" applyFont="1" applyAlignment="1">
      <alignment horizontal="center" vertical="center" shrinkToFit="1"/>
    </xf>
    <xf numFmtId="0" fontId="18" fillId="4" borderId="7" xfId="0" applyFont="1" applyFill="1" applyBorder="1" applyAlignment="1">
      <alignment horizontal="left" vertical="top"/>
    </xf>
    <xf numFmtId="0" fontId="19" fillId="4" borderId="7" xfId="0" applyFont="1" applyFill="1" applyBorder="1" applyAlignment="1">
      <alignment horizontal="center" vertical="center"/>
    </xf>
    <xf numFmtId="0" fontId="19" fillId="4" borderId="7" xfId="0" applyFont="1" applyFill="1" applyBorder="1"/>
    <xf numFmtId="0" fontId="19" fillId="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9" fillId="4" borderId="7" xfId="0" applyFont="1" applyFill="1" applyBorder="1" applyAlignment="1">
      <alignment horizontal="center"/>
    </xf>
    <xf numFmtId="0" fontId="21" fillId="0" borderId="0" xfId="0" applyFont="1"/>
    <xf numFmtId="178" fontId="24" fillId="0" borderId="0" xfId="0" applyNumberFormat="1" applyFont="1"/>
    <xf numFmtId="0" fontId="25" fillId="0" borderId="0" xfId="0" applyFont="1" applyAlignment="1">
      <alignment horizontal="center" vertical="top" shrinkToFit="1"/>
    </xf>
    <xf numFmtId="178" fontId="22" fillId="0" borderId="0" xfId="0" applyNumberFormat="1" applyFont="1" applyAlignment="1">
      <alignment horizontal="right"/>
    </xf>
    <xf numFmtId="0" fontId="22" fillId="0" borderId="0" xfId="0" applyFont="1"/>
    <xf numFmtId="0" fontId="24" fillId="0" borderId="0" xfId="0" applyFont="1"/>
    <xf numFmtId="0" fontId="22" fillId="0" borderId="0" xfId="0" applyFont="1" applyAlignment="1">
      <alignment horizontal="left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8" fillId="0" borderId="0" xfId="0" applyFont="1" applyAlignment="1" applyProtection="1">
      <alignment horizontal="center"/>
      <protection locked="0"/>
    </xf>
    <xf numFmtId="0" fontId="22" fillId="0" borderId="2" xfId="0" applyFont="1" applyBorder="1"/>
    <xf numFmtId="0" fontId="29" fillId="0" borderId="2" xfId="0" applyFont="1" applyBorder="1" applyAlignment="1">
      <alignment shrinkToFit="1"/>
    </xf>
    <xf numFmtId="0" fontId="22" fillId="0" borderId="2" xfId="0" applyFont="1" applyBorder="1" applyAlignment="1">
      <alignment shrinkToFit="1"/>
    </xf>
    <xf numFmtId="0" fontId="22" fillId="0" borderId="2" xfId="0" applyFont="1" applyBorder="1" applyAlignment="1">
      <alignment horizontal="center"/>
    </xf>
    <xf numFmtId="178" fontId="30" fillId="0" borderId="2" xfId="0" applyNumberFormat="1" applyFont="1" applyBorder="1" applyAlignment="1">
      <alignment horizontal="right"/>
    </xf>
    <xf numFmtId="178" fontId="30" fillId="0" borderId="1" xfId="0" applyNumberFormat="1" applyFont="1" applyBorder="1" applyAlignment="1">
      <alignment horizontal="right"/>
    </xf>
    <xf numFmtId="0" fontId="30" fillId="0" borderId="1" xfId="0" applyFont="1" applyBorder="1" applyAlignment="1">
      <alignment horizontal="center"/>
    </xf>
    <xf numFmtId="0" fontId="27" fillId="0" borderId="6" xfId="0" applyFont="1" applyBorder="1"/>
    <xf numFmtId="178" fontId="17" fillId="2" borderId="15" xfId="0" applyNumberFormat="1" applyFont="1" applyFill="1" applyBorder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22" fillId="0" borderId="14" xfId="0" applyFont="1" applyBorder="1" applyAlignment="1">
      <alignment horizontal="right" vertical="center" shrinkToFit="1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 wrapText="1"/>
    </xf>
    <xf numFmtId="0" fontId="22" fillId="3" borderId="20" xfId="0" applyFont="1" applyFill="1" applyBorder="1" applyAlignment="1" applyProtection="1">
      <alignment horizontal="left" vertical="center"/>
      <protection locked="0"/>
    </xf>
    <xf numFmtId="0" fontId="22" fillId="3" borderId="21" xfId="0" applyFont="1" applyFill="1" applyBorder="1" applyAlignment="1" applyProtection="1">
      <alignment horizontal="left" vertical="center"/>
      <protection locked="0"/>
    </xf>
    <xf numFmtId="0" fontId="39" fillId="3" borderId="20" xfId="0" applyFont="1" applyFill="1" applyBorder="1" applyAlignment="1" applyProtection="1">
      <alignment horizontal="left" vertical="center"/>
      <protection locked="0"/>
    </xf>
    <xf numFmtId="0" fontId="4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0" fillId="0" borderId="0" xfId="0" applyFont="1" applyAlignment="1">
      <alignment horizontal="center"/>
    </xf>
    <xf numFmtId="0" fontId="40" fillId="0" borderId="0" xfId="0" applyFont="1" applyAlignment="1"/>
    <xf numFmtId="176" fontId="17" fillId="2" borderId="7" xfId="0" quotePrefix="1" applyNumberFormat="1" applyFont="1" applyFill="1" applyBorder="1" applyAlignment="1" applyProtection="1">
      <alignment horizontal="center" vertical="center" shrinkToFit="1"/>
    </xf>
    <xf numFmtId="178" fontId="17" fillId="0" borderId="16" xfId="0" applyNumberFormat="1" applyFont="1" applyBorder="1" applyAlignment="1" applyProtection="1">
      <alignment horizontal="right" vertical="center" shrinkToFit="1"/>
    </xf>
    <xf numFmtId="0" fontId="17" fillId="2" borderId="15" xfId="0" applyNumberFormat="1" applyFont="1" applyFill="1" applyBorder="1" applyAlignment="1" applyProtection="1">
      <alignment horizontal="right" vertical="center" shrinkToFit="1"/>
    </xf>
    <xf numFmtId="0" fontId="3" fillId="3" borderId="21" xfId="0" applyFont="1" applyFill="1" applyBorder="1" applyAlignment="1" applyProtection="1">
      <alignment horizontal="left" vertical="center"/>
      <protection locked="0"/>
    </xf>
    <xf numFmtId="0" fontId="0" fillId="0" borderId="0" xfId="0" applyProtection="1"/>
    <xf numFmtId="0" fontId="7" fillId="0" borderId="61" xfId="0" applyFont="1" applyBorder="1" applyAlignment="1" applyProtection="1">
      <alignment horizontal="center" vertical="center" wrapText="1"/>
      <protection locked="0"/>
    </xf>
    <xf numFmtId="0" fontId="7" fillId="0" borderId="62" xfId="0" applyFont="1" applyBorder="1" applyAlignment="1" applyProtection="1">
      <alignment horizontal="center" vertical="center" wrapText="1"/>
      <protection locked="0"/>
    </xf>
    <xf numFmtId="0" fontId="7" fillId="0" borderId="61" xfId="0" applyFont="1" applyBorder="1" applyAlignment="1" applyProtection="1">
      <alignment horizontal="left" vertical="center" wrapText="1"/>
      <protection locked="0"/>
    </xf>
    <xf numFmtId="0" fontId="7" fillId="0" borderId="62" xfId="0" applyFont="1" applyBorder="1" applyAlignment="1" applyProtection="1">
      <alignment horizontal="left" vertical="center" wrapText="1"/>
      <protection locked="0"/>
    </xf>
    <xf numFmtId="0" fontId="7" fillId="0" borderId="61" xfId="0" applyFont="1" applyBorder="1" applyAlignment="1" applyProtection="1">
      <alignment horizontal="right" vertical="center" wrapText="1"/>
      <protection locked="0"/>
    </xf>
    <xf numFmtId="0" fontId="7" fillId="0" borderId="62" xfId="0" applyFont="1" applyBorder="1" applyAlignment="1" applyProtection="1">
      <alignment horizontal="right" vertical="center" wrapText="1"/>
      <protection locked="0"/>
    </xf>
    <xf numFmtId="0" fontId="0" fillId="0" borderId="61" xfId="0" applyBorder="1" applyAlignment="1" applyProtection="1">
      <alignment horizontal="center" vertical="center" wrapText="1"/>
      <protection locked="0"/>
    </xf>
    <xf numFmtId="0" fontId="0" fillId="0" borderId="62" xfId="0" applyBorder="1" applyAlignment="1" applyProtection="1">
      <alignment horizontal="center" vertical="center" wrapText="1"/>
      <protection locked="0"/>
    </xf>
    <xf numFmtId="0" fontId="21" fillId="0" borderId="0" xfId="0" applyFont="1" applyAlignment="1">
      <alignment horizontal="left" vertical="center" wrapText="1"/>
    </xf>
    <xf numFmtId="178" fontId="33" fillId="0" borderId="3" xfId="0" applyNumberFormat="1" applyFont="1" applyBorder="1" applyAlignment="1">
      <alignment shrinkToFit="1"/>
    </xf>
    <xf numFmtId="178" fontId="33" fillId="0" borderId="22" xfId="0" applyNumberFormat="1" applyFont="1" applyBorder="1" applyAlignment="1">
      <alignment shrinkToFit="1"/>
    </xf>
    <xf numFmtId="178" fontId="33" fillId="0" borderId="56" xfId="0" applyNumberFormat="1" applyFont="1" applyBorder="1" applyAlignment="1">
      <alignment shrinkToFit="1"/>
    </xf>
    <xf numFmtId="179" fontId="17" fillId="0" borderId="3" xfId="0" applyNumberFormat="1" applyFont="1" applyBorder="1" applyAlignment="1" applyProtection="1">
      <alignment horizontal="right" vertical="center" shrinkToFit="1"/>
    </xf>
    <xf numFmtId="179" fontId="17" fillId="0" borderId="16" xfId="0" applyNumberFormat="1" applyFont="1" applyBorder="1" applyAlignment="1" applyProtection="1">
      <alignment horizontal="right" vertical="center" shrinkToFit="1"/>
    </xf>
    <xf numFmtId="0" fontId="26" fillId="0" borderId="57" xfId="0" applyFont="1" applyBorder="1" applyAlignment="1" applyProtection="1">
      <alignment horizontal="left" vertical="center" wrapText="1"/>
      <protection locked="0"/>
    </xf>
    <xf numFmtId="0" fontId="26" fillId="0" borderId="25" xfId="0" applyFont="1" applyBorder="1" applyAlignment="1" applyProtection="1">
      <alignment horizontal="left" vertical="center" wrapText="1"/>
      <protection locked="0"/>
    </xf>
    <xf numFmtId="0" fontId="26" fillId="0" borderId="30" xfId="0" applyFont="1" applyBorder="1" applyAlignment="1" applyProtection="1">
      <alignment horizontal="left" vertical="center" wrapText="1"/>
      <protection locked="0"/>
    </xf>
    <xf numFmtId="0" fontId="26" fillId="0" borderId="58" xfId="0" applyFont="1" applyBorder="1" applyAlignment="1" applyProtection="1">
      <alignment horizontal="left" vertical="center" wrapText="1"/>
      <protection locked="0"/>
    </xf>
    <xf numFmtId="0" fontId="26" fillId="0" borderId="1" xfId="0" applyFont="1" applyBorder="1" applyAlignment="1" applyProtection="1">
      <alignment horizontal="left" vertical="center" wrapText="1"/>
      <protection locked="0"/>
    </xf>
    <xf numFmtId="0" fontId="26" fillId="0" borderId="55" xfId="0" applyFont="1" applyBorder="1" applyAlignment="1" applyProtection="1">
      <alignment horizontal="left" vertical="center" wrapText="1"/>
      <protection locked="0"/>
    </xf>
    <xf numFmtId="177" fontId="11" fillId="2" borderId="23" xfId="0" applyNumberFormat="1" applyFont="1" applyFill="1" applyBorder="1" applyAlignment="1">
      <alignment horizontal="right" vertical="center"/>
    </xf>
    <xf numFmtId="177" fontId="11" fillId="2" borderId="25" xfId="0" applyNumberFormat="1" applyFont="1" applyFill="1" applyBorder="1" applyAlignment="1">
      <alignment horizontal="right" vertical="center"/>
    </xf>
    <xf numFmtId="0" fontId="7" fillId="0" borderId="25" xfId="0" applyFont="1" applyBorder="1" applyAlignment="1">
      <alignment horizontal="right"/>
    </xf>
    <xf numFmtId="177" fontId="11" fillId="2" borderId="59" xfId="0" applyNumberFormat="1" applyFont="1" applyFill="1" applyBorder="1" applyAlignment="1">
      <alignment horizontal="right" vertical="center"/>
    </xf>
    <xf numFmtId="177" fontId="11" fillId="2" borderId="2" xfId="0" applyNumberFormat="1" applyFont="1" applyFill="1" applyBorder="1" applyAlignment="1">
      <alignment horizontal="right" vertical="center"/>
    </xf>
    <xf numFmtId="0" fontId="7" fillId="0" borderId="2" xfId="0" applyFont="1" applyBorder="1" applyAlignment="1">
      <alignment horizontal="right"/>
    </xf>
    <xf numFmtId="0" fontId="21" fillId="0" borderId="23" xfId="0" applyFont="1" applyBorder="1" applyAlignment="1">
      <alignment horizontal="left" vertical="center"/>
    </xf>
    <xf numFmtId="0" fontId="21" fillId="0" borderId="48" xfId="0" applyFont="1" applyBorder="1" applyAlignment="1">
      <alignment horizontal="left" vertical="center"/>
    </xf>
    <xf numFmtId="0" fontId="21" fillId="0" borderId="49" xfId="0" applyFont="1" applyBorder="1" applyAlignment="1">
      <alignment horizontal="left" vertical="center"/>
    </xf>
    <xf numFmtId="0" fontId="21" fillId="0" borderId="50" xfId="0" applyFont="1" applyBorder="1" applyAlignment="1">
      <alignment horizontal="left" vertical="center"/>
    </xf>
    <xf numFmtId="0" fontId="28" fillId="0" borderId="40" xfId="0" applyFont="1" applyBorder="1" applyAlignment="1">
      <alignment horizontal="center" vertical="center"/>
    </xf>
    <xf numFmtId="0" fontId="34" fillId="0" borderId="8" xfId="0" applyFont="1" applyBorder="1" applyAlignment="1">
      <alignment horizontal="center"/>
    </xf>
    <xf numFmtId="0" fontId="34" fillId="0" borderId="2" xfId="0" applyFont="1" applyBorder="1" applyAlignment="1">
      <alignment horizontal="center"/>
    </xf>
    <xf numFmtId="0" fontId="34" fillId="0" borderId="51" xfId="0" applyFont="1" applyBorder="1" applyAlignment="1">
      <alignment horizontal="center"/>
    </xf>
    <xf numFmtId="0" fontId="35" fillId="0" borderId="29" xfId="0" applyFont="1" applyBorder="1" applyAlignment="1">
      <alignment horizontal="center" vertical="center" wrapText="1" shrinkToFit="1"/>
    </xf>
    <xf numFmtId="0" fontId="35" fillId="0" borderId="25" xfId="0" applyFont="1" applyBorder="1" applyAlignment="1">
      <alignment horizontal="center" vertical="center" shrinkToFit="1"/>
    </xf>
    <xf numFmtId="0" fontId="35" fillId="0" borderId="60" xfId="0" applyFont="1" applyBorder="1" applyAlignment="1">
      <alignment horizontal="center" vertical="center" shrinkToFit="1"/>
    </xf>
    <xf numFmtId="0" fontId="35" fillId="0" borderId="52" xfId="0" applyFont="1" applyBorder="1" applyAlignment="1">
      <alignment horizontal="center" vertical="center" shrinkToFit="1"/>
    </xf>
    <xf numFmtId="0" fontId="35" fillId="0" borderId="2" xfId="0" applyFont="1" applyBorder="1" applyAlignment="1">
      <alignment horizontal="center" vertical="center" shrinkToFit="1"/>
    </xf>
    <xf numFmtId="0" fontId="35" fillId="0" borderId="51" xfId="0" applyFont="1" applyBorder="1" applyAlignment="1">
      <alignment horizontal="center" vertical="center" shrinkToFit="1"/>
    </xf>
    <xf numFmtId="0" fontId="32" fillId="0" borderId="54" xfId="0" applyFont="1" applyBorder="1" applyAlignment="1">
      <alignment horizontal="right" vertical="center"/>
    </xf>
    <xf numFmtId="0" fontId="32" fillId="0" borderId="22" xfId="0" applyFont="1" applyBorder="1" applyAlignment="1">
      <alignment horizontal="right" vertical="center"/>
    </xf>
    <xf numFmtId="0" fontId="32" fillId="0" borderId="16" xfId="0" applyFont="1" applyBorder="1" applyAlignment="1">
      <alignment horizontal="right" vertical="center"/>
    </xf>
    <xf numFmtId="0" fontId="21" fillId="0" borderId="25" xfId="0" applyFont="1" applyBorder="1" applyAlignment="1">
      <alignment vertical="center"/>
    </xf>
    <xf numFmtId="0" fontId="21" fillId="0" borderId="30" xfId="0" applyFont="1" applyBorder="1" applyAlignment="1">
      <alignment vertical="center"/>
    </xf>
    <xf numFmtId="0" fontId="21" fillId="0" borderId="1" xfId="0" applyFont="1" applyBorder="1" applyAlignment="1">
      <alignment vertical="center"/>
    </xf>
    <xf numFmtId="0" fontId="21" fillId="0" borderId="55" xfId="0" applyFont="1" applyBorder="1" applyAlignment="1">
      <alignment vertical="center"/>
    </xf>
    <xf numFmtId="0" fontId="37" fillId="0" borderId="23" xfId="0" applyFont="1" applyBorder="1" applyAlignment="1">
      <alignment horizontal="center" vertical="center" wrapText="1"/>
    </xf>
    <xf numFmtId="0" fontId="37" fillId="0" borderId="30" xfId="0" applyFont="1" applyBorder="1" applyAlignment="1">
      <alignment horizontal="center" vertical="center" wrapText="1"/>
    </xf>
    <xf numFmtId="0" fontId="37" fillId="0" borderId="49" xfId="0" applyFont="1" applyBorder="1" applyAlignment="1">
      <alignment horizontal="center" vertical="center" wrapText="1"/>
    </xf>
    <xf numFmtId="0" fontId="37" fillId="0" borderId="55" xfId="0" applyFont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shrinkToFit="1"/>
    </xf>
    <xf numFmtId="0" fontId="0" fillId="0" borderId="7" xfId="0" applyBorder="1" applyAlignment="1" applyProtection="1">
      <alignment horizontal="center"/>
    </xf>
    <xf numFmtId="0" fontId="32" fillId="0" borderId="53" xfId="0" applyFont="1" applyBorder="1" applyAlignment="1">
      <alignment horizontal="right" vertical="center"/>
    </xf>
    <xf numFmtId="0" fontId="32" fillId="0" borderId="4" xfId="0" applyFont="1" applyBorder="1" applyAlignment="1">
      <alignment horizontal="right" vertical="center"/>
    </xf>
    <xf numFmtId="0" fontId="32" fillId="0" borderId="5" xfId="0" applyFont="1" applyBorder="1" applyAlignment="1">
      <alignment horizontal="right" vertical="center"/>
    </xf>
    <xf numFmtId="178" fontId="22" fillId="0" borderId="3" xfId="0" applyNumberFormat="1" applyFont="1" applyBorder="1" applyAlignment="1">
      <alignment horizontal="right" vertical="center" shrinkToFit="1"/>
    </xf>
    <xf numFmtId="178" fontId="22" fillId="0" borderId="16" xfId="0" applyNumberFormat="1" applyFont="1" applyBorder="1" applyAlignment="1">
      <alignment horizontal="right" vertical="center" shrinkToFit="1"/>
    </xf>
    <xf numFmtId="0" fontId="21" fillId="0" borderId="13" xfId="0" applyFont="1" applyBorder="1" applyAlignment="1" applyProtection="1">
      <alignment horizontal="center" vertical="center" shrinkToFit="1"/>
    </xf>
    <xf numFmtId="0" fontId="21" fillId="0" borderId="12" xfId="0" applyFont="1" applyBorder="1" applyAlignment="1" applyProtection="1">
      <alignment horizontal="center" vertical="center" shrinkToFit="1"/>
    </xf>
    <xf numFmtId="179" fontId="17" fillId="2" borderId="47" xfId="0" applyNumberFormat="1" applyFont="1" applyFill="1" applyBorder="1" applyAlignment="1" applyProtection="1">
      <alignment horizontal="center" vertical="center" shrinkToFit="1"/>
    </xf>
    <xf numFmtId="179" fontId="17" fillId="2" borderId="21" xfId="0" applyNumberFormat="1" applyFont="1" applyFill="1" applyBorder="1" applyAlignment="1" applyProtection="1">
      <alignment horizontal="center" vertical="center" shrinkToFit="1"/>
    </xf>
    <xf numFmtId="179" fontId="17" fillId="2" borderId="12" xfId="0" applyNumberFormat="1" applyFont="1" applyFill="1" applyBorder="1" applyAlignment="1" applyProtection="1">
      <alignment horizontal="center" vertical="center" shrinkToFit="1"/>
    </xf>
    <xf numFmtId="179" fontId="31" fillId="2" borderId="13" xfId="0" applyNumberFormat="1" applyFont="1" applyFill="1" applyBorder="1" applyAlignment="1" applyProtection="1">
      <alignment horizontal="left" vertical="center" wrapText="1" shrinkToFit="1"/>
    </xf>
    <xf numFmtId="179" fontId="31" fillId="2" borderId="21" xfId="0" applyNumberFormat="1" applyFont="1" applyFill="1" applyBorder="1" applyAlignment="1" applyProtection="1">
      <alignment horizontal="left" vertical="center" wrapText="1" shrinkToFit="1"/>
    </xf>
    <xf numFmtId="179" fontId="31" fillId="2" borderId="12" xfId="0" applyNumberFormat="1" applyFont="1" applyFill="1" applyBorder="1" applyAlignment="1" applyProtection="1">
      <alignment horizontal="left" vertical="center" wrapText="1" shrinkToFit="1"/>
    </xf>
    <xf numFmtId="0" fontId="0" fillId="0" borderId="13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10" fillId="0" borderId="41" xfId="0" applyFont="1" applyBorder="1" applyAlignment="1">
      <alignment horizontal="distributed" vertical="center" shrinkToFit="1"/>
    </xf>
    <xf numFmtId="0" fontId="10" fillId="0" borderId="42" xfId="0" applyFont="1" applyBorder="1" applyAlignment="1">
      <alignment horizontal="distributed" vertical="center" shrinkToFit="1"/>
    </xf>
    <xf numFmtId="0" fontId="10" fillId="0" borderId="17" xfId="0" applyFont="1" applyBorder="1" applyAlignment="1">
      <alignment horizontal="distributed" vertical="center" shrinkToFit="1"/>
    </xf>
    <xf numFmtId="0" fontId="10" fillId="0" borderId="0" xfId="0" applyFont="1" applyAlignment="1">
      <alignment horizontal="distributed" vertical="center" shrinkToFit="1"/>
    </xf>
    <xf numFmtId="0" fontId="10" fillId="0" borderId="43" xfId="0" applyFont="1" applyBorder="1" applyAlignment="1">
      <alignment horizontal="distributed" vertical="center" shrinkToFit="1"/>
    </xf>
    <xf numFmtId="0" fontId="10" fillId="0" borderId="20" xfId="0" applyFont="1" applyBorder="1" applyAlignment="1">
      <alignment horizontal="distributed" vertical="center" shrinkToFit="1"/>
    </xf>
    <xf numFmtId="0" fontId="10" fillId="0" borderId="44" xfId="0" applyFont="1" applyBorder="1" applyAlignment="1">
      <alignment horizontal="distributed" vertical="center"/>
    </xf>
    <xf numFmtId="0" fontId="21" fillId="0" borderId="45" xfId="0" applyFont="1" applyBorder="1" applyAlignment="1">
      <alignment horizontal="distributed"/>
    </xf>
    <xf numFmtId="0" fontId="21" fillId="0" borderId="46" xfId="0" applyFont="1" applyBorder="1" applyAlignment="1">
      <alignment horizontal="distributed"/>
    </xf>
    <xf numFmtId="0" fontId="21" fillId="0" borderId="39" xfId="0" applyFont="1" applyBorder="1" applyAlignment="1">
      <alignment horizontal="distributed"/>
    </xf>
    <xf numFmtId="0" fontId="21" fillId="0" borderId="0" xfId="0" applyFont="1" applyAlignment="1">
      <alignment horizontal="distributed"/>
    </xf>
    <xf numFmtId="0" fontId="21" fillId="0" borderId="10" xfId="0" applyFont="1" applyBorder="1" applyAlignment="1">
      <alignment horizontal="distributed"/>
    </xf>
    <xf numFmtId="0" fontId="21" fillId="0" borderId="35" xfId="0" applyFont="1" applyBorder="1" applyAlignment="1">
      <alignment horizontal="distributed"/>
    </xf>
    <xf numFmtId="0" fontId="21" fillId="0" borderId="20" xfId="0" applyFont="1" applyBorder="1" applyAlignment="1">
      <alignment horizontal="distributed"/>
    </xf>
    <xf numFmtId="0" fontId="21" fillId="0" borderId="11" xfId="0" applyFont="1" applyBorder="1" applyAlignment="1">
      <alignment horizontal="distributed"/>
    </xf>
    <xf numFmtId="0" fontId="26" fillId="0" borderId="37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26" fillId="0" borderId="39" xfId="0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top" shrinkToFit="1"/>
    </xf>
    <xf numFmtId="0" fontId="26" fillId="0" borderId="0" xfId="0" applyFont="1" applyAlignment="1">
      <alignment horizontal="center" vertical="center"/>
    </xf>
    <xf numFmtId="0" fontId="3" fillId="3" borderId="21" xfId="0" applyFont="1" applyFill="1" applyBorder="1" applyAlignment="1" applyProtection="1">
      <alignment horizontal="left" vertical="center" shrinkToFit="1"/>
      <protection locked="0"/>
    </xf>
    <xf numFmtId="0" fontId="22" fillId="3" borderId="21" xfId="0" applyFont="1" applyFill="1" applyBorder="1" applyAlignment="1" applyProtection="1">
      <alignment horizontal="left" vertical="center" shrinkToFit="1"/>
      <protection locked="0"/>
    </xf>
    <xf numFmtId="0" fontId="21" fillId="0" borderId="23" xfId="0" applyFont="1" applyBorder="1" applyAlignment="1">
      <alignment horizontal="left"/>
    </xf>
    <xf numFmtId="0" fontId="21" fillId="0" borderId="24" xfId="0" applyFont="1" applyBorder="1" applyAlignment="1">
      <alignment horizontal="left"/>
    </xf>
    <xf numFmtId="0" fontId="21" fillId="6" borderId="25" xfId="0" applyFont="1" applyFill="1" applyBorder="1" applyAlignment="1" applyProtection="1">
      <alignment horizontal="center" vertical="center"/>
      <protection locked="0"/>
    </xf>
    <xf numFmtId="0" fontId="21" fillId="6" borderId="4" xfId="0" applyFont="1" applyFill="1" applyBorder="1" applyAlignment="1" applyProtection="1">
      <alignment horizontal="center" vertical="center"/>
      <protection locked="0"/>
    </xf>
    <xf numFmtId="0" fontId="21" fillId="0" borderId="25" xfId="0" applyFont="1" applyBorder="1" applyAlignment="1">
      <alignment horizontal="center"/>
    </xf>
    <xf numFmtId="0" fontId="21" fillId="0" borderId="30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32" xfId="0" applyFont="1" applyBorder="1" applyAlignment="1">
      <alignment horizontal="center"/>
    </xf>
    <xf numFmtId="0" fontId="22" fillId="3" borderId="40" xfId="0" quotePrefix="1" applyFont="1" applyFill="1" applyBorder="1" applyAlignment="1" applyProtection="1">
      <alignment horizontal="left" vertical="center"/>
      <protection locked="0"/>
    </xf>
    <xf numFmtId="0" fontId="22" fillId="3" borderId="40" xfId="0" applyFont="1" applyFill="1" applyBorder="1" applyAlignment="1" applyProtection="1">
      <alignment horizontal="left" vertical="center"/>
      <protection locked="0"/>
    </xf>
    <xf numFmtId="0" fontId="22" fillId="3" borderId="20" xfId="0" applyFont="1" applyFill="1" applyBorder="1" applyAlignment="1" applyProtection="1">
      <alignment horizontal="left" vertical="center"/>
      <protection locked="0"/>
    </xf>
    <xf numFmtId="0" fontId="39" fillId="3" borderId="21" xfId="0" applyFont="1" applyFill="1" applyBorder="1" applyAlignment="1" applyProtection="1">
      <alignment horizontal="left" vertical="center"/>
      <protection locked="0"/>
    </xf>
    <xf numFmtId="0" fontId="3" fillId="3" borderId="21" xfId="0" applyFont="1" applyFill="1" applyBorder="1" applyAlignment="1" applyProtection="1">
      <alignment horizontal="left" vertical="center"/>
      <protection locked="0"/>
    </xf>
    <xf numFmtId="0" fontId="20" fillId="5" borderId="0" xfId="0" applyFont="1" applyFill="1" applyAlignment="1">
      <alignment horizontal="left" vertical="center" wrapText="1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>
      <alignment vertical="center" wrapText="1"/>
    </xf>
    <xf numFmtId="0" fontId="10" fillId="0" borderId="26" xfId="0" applyFont="1" applyBorder="1" applyAlignment="1">
      <alignment horizontal="center" vertical="center" shrinkToFit="1"/>
    </xf>
    <xf numFmtId="0" fontId="10" fillId="0" borderId="27" xfId="0" applyFont="1" applyBorder="1" applyAlignment="1">
      <alignment horizontal="center" vertical="center" shrinkToFit="1"/>
    </xf>
    <xf numFmtId="0" fontId="10" fillId="0" borderId="28" xfId="0" applyFont="1" applyBorder="1" applyAlignment="1">
      <alignment horizontal="center" vertical="center" shrinkToFit="1"/>
    </xf>
    <xf numFmtId="0" fontId="26" fillId="0" borderId="29" xfId="0" applyFont="1" applyBorder="1" applyAlignment="1">
      <alignment horizontal="center" vertical="center" shrinkToFit="1"/>
    </xf>
    <xf numFmtId="0" fontId="26" fillId="0" borderId="30" xfId="0" applyFont="1" applyBorder="1" applyAlignment="1">
      <alignment horizontal="center" vertical="center" shrinkToFit="1"/>
    </xf>
    <xf numFmtId="0" fontId="10" fillId="0" borderId="18" xfId="0" applyFont="1" applyBorder="1" applyAlignment="1">
      <alignment horizontal="center" vertical="center" shrinkToFit="1"/>
    </xf>
    <xf numFmtId="0" fontId="10" fillId="0" borderId="19" xfId="0" applyFont="1" applyBorder="1" applyAlignment="1">
      <alignment horizontal="center" vertical="center" shrinkToFit="1"/>
    </xf>
    <xf numFmtId="0" fontId="22" fillId="0" borderId="9" xfId="0" applyFont="1" applyBorder="1" applyAlignment="1">
      <alignment horizontal="center" vertical="center" shrinkToFit="1"/>
    </xf>
    <xf numFmtId="0" fontId="22" fillId="0" borderId="32" xfId="0" applyFont="1" applyBorder="1" applyAlignment="1">
      <alignment horizontal="center" vertical="center" shrinkToFit="1"/>
    </xf>
    <xf numFmtId="0" fontId="10" fillId="0" borderId="33" xfId="0" applyFont="1" applyBorder="1" applyAlignment="1">
      <alignment horizontal="center" vertical="center" shrinkToFit="1"/>
    </xf>
    <xf numFmtId="0" fontId="10" fillId="0" borderId="34" xfId="0" applyFont="1" applyBorder="1" applyAlignment="1">
      <alignment horizontal="center" vertical="center" shrinkToFit="1"/>
    </xf>
    <xf numFmtId="0" fontId="26" fillId="0" borderId="35" xfId="0" applyFont="1" applyBorder="1" applyAlignment="1">
      <alignment horizontal="center" vertical="center" shrinkToFit="1"/>
    </xf>
    <xf numFmtId="0" fontId="26" fillId="0" borderId="36" xfId="0" applyFont="1" applyBorder="1" applyAlignment="1">
      <alignment horizontal="center" vertical="center" shrinkToFit="1"/>
    </xf>
    <xf numFmtId="0" fontId="10" fillId="0" borderId="37" xfId="0" applyFont="1" applyBorder="1" applyAlignment="1">
      <alignment horizontal="center" vertical="center" shrinkToFit="1"/>
    </xf>
    <xf numFmtId="0" fontId="10" fillId="0" borderId="38" xfId="0" applyFont="1" applyBorder="1" applyAlignment="1">
      <alignment horizontal="center" vertical="center" shrinkToFit="1"/>
    </xf>
    <xf numFmtId="0" fontId="10" fillId="0" borderId="39" xfId="0" applyFont="1" applyBorder="1" applyAlignment="1">
      <alignment horizontal="center" vertical="center" shrinkToFit="1"/>
    </xf>
    <xf numFmtId="0" fontId="10" fillId="0" borderId="32" xfId="0" applyFont="1" applyBorder="1" applyAlignment="1">
      <alignment horizontal="center" vertical="center" shrinkToFit="1"/>
    </xf>
    <xf numFmtId="0" fontId="10" fillId="0" borderId="24" xfId="0" applyFont="1" applyBorder="1" applyAlignment="1">
      <alignment horizontal="center" vertical="center" shrinkToFit="1"/>
    </xf>
    <xf numFmtId="0" fontId="10" fillId="0" borderId="5" xfId="0" applyFont="1" applyBorder="1" applyAlignment="1">
      <alignment horizontal="center" vertical="center" shrinkToFit="1"/>
    </xf>
    <xf numFmtId="178" fontId="26" fillId="0" borderId="31" xfId="0" applyNumberFormat="1" applyFont="1" applyBorder="1" applyAlignment="1">
      <alignment horizontal="center" vertical="center" shrinkToFit="1"/>
    </xf>
    <xf numFmtId="178" fontId="26" fillId="0" borderId="4" xfId="0" applyNumberFormat="1" applyFont="1" applyBorder="1" applyAlignment="1">
      <alignment horizontal="center" vertical="center" shrinkToFit="1"/>
    </xf>
    <xf numFmtId="178" fontId="26" fillId="0" borderId="5" xfId="0" applyNumberFormat="1" applyFont="1" applyBorder="1" applyAlignment="1">
      <alignment horizontal="center" vertical="center" shrinkToFit="1"/>
    </xf>
    <xf numFmtId="0" fontId="0" fillId="0" borderId="61" xfId="0" applyBorder="1" applyAlignment="1" applyProtection="1">
      <alignment horizontal="center" vertical="center" wrapText="1"/>
      <protection locked="0"/>
    </xf>
    <xf numFmtId="0" fontId="0" fillId="0" borderId="62" xfId="0" applyBorder="1" applyAlignment="1" applyProtection="1">
      <alignment horizontal="center" vertical="center" wrapText="1"/>
      <protection locked="0"/>
    </xf>
    <xf numFmtId="0" fontId="7" fillId="0" borderId="61" xfId="0" applyFont="1" applyBorder="1" applyAlignment="1" applyProtection="1">
      <alignment horizontal="center" vertical="center" wrapText="1"/>
      <protection locked="0"/>
    </xf>
    <xf numFmtId="0" fontId="7" fillId="0" borderId="62" xfId="0" applyFont="1" applyBorder="1" applyAlignment="1" applyProtection="1">
      <alignment horizontal="center" vertical="center" wrapText="1"/>
      <protection locked="0"/>
    </xf>
    <xf numFmtId="0" fontId="7" fillId="0" borderId="61" xfId="0" applyFont="1" applyBorder="1" applyAlignment="1" applyProtection="1">
      <alignment horizontal="left" vertical="center" wrapText="1"/>
      <protection locked="0"/>
    </xf>
    <xf numFmtId="0" fontId="7" fillId="0" borderId="62" xfId="0" applyFont="1" applyBorder="1" applyAlignment="1" applyProtection="1">
      <alignment horizontal="left" vertical="center" wrapText="1"/>
      <protection locked="0"/>
    </xf>
    <xf numFmtId="0" fontId="7" fillId="0" borderId="61" xfId="0" applyFont="1" applyBorder="1" applyAlignment="1" applyProtection="1">
      <alignment horizontal="right" vertical="center" wrapText="1"/>
      <protection locked="0"/>
    </xf>
    <xf numFmtId="0" fontId="7" fillId="0" borderId="62" xfId="0" applyFont="1" applyBorder="1" applyAlignment="1" applyProtection="1">
      <alignment horizontal="right" vertical="center" wrapText="1"/>
      <protection locked="0"/>
    </xf>
  </cellXfs>
  <cellStyles count="3">
    <cellStyle name="一般" xfId="0" builtinId="0"/>
    <cellStyle name="一般 2" xfId="1" xr:uid="{00000000-0005-0000-0000-000001000000}"/>
    <cellStyle name="一般 3" xfId="2" xr:uid="{00000000-0005-0000-0000-000002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externalLink" Target="externalLinks/externalLink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281940</xdr:colOff>
          <xdr:row>1</xdr:row>
          <xdr:rowOff>106680</xdr:rowOff>
        </xdr:from>
        <xdr:to>
          <xdr:col>14</xdr:col>
          <xdr:colOff>190500</xdr:colOff>
          <xdr:row>3</xdr:row>
          <xdr:rowOff>68580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1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載入當月資料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281940</xdr:colOff>
          <xdr:row>3</xdr:row>
          <xdr:rowOff>121920</xdr:rowOff>
        </xdr:from>
        <xdr:to>
          <xdr:col>14</xdr:col>
          <xdr:colOff>190500</xdr:colOff>
          <xdr:row>5</xdr:row>
          <xdr:rowOff>83820</xdr:rowOff>
        </xdr:to>
        <xdr:sp macro="" textlink="">
          <xdr:nvSpPr>
            <xdr:cNvPr id="9339" name="Button 123" hidden="1">
              <a:extLst>
                <a:ext uri="{63B3BB69-23CF-44E3-9099-C40C66FF867C}">
                  <a14:compatExt spid="_x0000_s9339"/>
                </a:ext>
                <a:ext uri="{FF2B5EF4-FFF2-40B4-BE49-F238E27FC236}">
                  <a16:creationId xmlns:a16="http://schemas.microsoft.com/office/drawing/2014/main" id="{00000000-0008-0000-0100-00007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載入上月資料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04.&#22577;&#34920;&amp;&#34920;&#26684;&amp;&#25654;&#20462;&#22577;&#34920;\01.%20&#26376;&#22577;&#34920;\09.&#20154;&#36039;&#32068;\03.%20&#22806;&#21220;&#36027;\&#28504;&#24314;&#23439;\07&#22806;&#21220;&#22577;&#25903;-&#28504;&#24314;&#23439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外勤報支單"/>
      <sheetName val="資料"/>
      <sheetName val="DataBase"/>
    </sheetNames>
    <sheetDataSet>
      <sheetData sheetId="0"/>
      <sheetData sheetId="1"/>
      <sheetData sheetId="2">
        <row r="1">
          <cell r="A1" t="str">
            <v>報支地點</v>
          </cell>
        </row>
        <row r="2">
          <cell r="A2" t="str">
            <v>電驛組250</v>
          </cell>
        </row>
        <row r="3">
          <cell r="A3" t="str">
            <v>電驛組400</v>
          </cell>
        </row>
        <row r="4">
          <cell r="A4" t="str">
            <v>龍崎</v>
          </cell>
        </row>
        <row r="5">
          <cell r="A5" t="str">
            <v>山上</v>
          </cell>
        </row>
        <row r="6">
          <cell r="A6" t="str">
            <v>台南</v>
          </cell>
        </row>
        <row r="7">
          <cell r="A7" t="str">
            <v>二甲</v>
          </cell>
        </row>
        <row r="8">
          <cell r="A8" t="str">
            <v>小北</v>
          </cell>
        </row>
        <row r="9">
          <cell r="A9" t="str">
            <v>仁德</v>
          </cell>
        </row>
        <row r="10">
          <cell r="A10" t="str">
            <v>延平</v>
          </cell>
        </row>
        <row r="11">
          <cell r="A11" t="str">
            <v>忠孝</v>
          </cell>
        </row>
        <row r="12">
          <cell r="A12" t="str">
            <v>新化</v>
          </cell>
        </row>
        <row r="13">
          <cell r="A13" t="str">
            <v>裕農</v>
          </cell>
        </row>
        <row r="14">
          <cell r="A14" t="str">
            <v>鹽行</v>
          </cell>
        </row>
        <row r="16">
          <cell r="A16" t="str">
            <v>嘉民</v>
          </cell>
        </row>
        <row r="17">
          <cell r="A17" t="str">
            <v>北港</v>
          </cell>
        </row>
        <row r="18">
          <cell r="A18" t="str">
            <v>雲林</v>
          </cell>
        </row>
        <row r="19">
          <cell r="A19" t="str">
            <v>嘉義</v>
          </cell>
        </row>
        <row r="20">
          <cell r="A20" t="str">
            <v>仁愛</v>
          </cell>
        </row>
        <row r="21">
          <cell r="A21" t="str">
            <v>斗工</v>
          </cell>
        </row>
        <row r="22">
          <cell r="A22" t="str">
            <v>斗六</v>
          </cell>
        </row>
        <row r="23">
          <cell r="A23" t="str">
            <v>斗南</v>
          </cell>
        </row>
        <row r="24">
          <cell r="A24" t="str">
            <v>北回</v>
          </cell>
        </row>
        <row r="25">
          <cell r="A25" t="str">
            <v>北勢</v>
          </cell>
        </row>
        <row r="26">
          <cell r="A26" t="str">
            <v>台西</v>
          </cell>
        </row>
        <row r="27">
          <cell r="A27" t="str">
            <v>四湖</v>
          </cell>
        </row>
        <row r="28">
          <cell r="A28" t="str">
            <v>虎科</v>
          </cell>
        </row>
        <row r="29">
          <cell r="A29" t="str">
            <v>虎菁</v>
          </cell>
        </row>
        <row r="30">
          <cell r="A30" t="str">
            <v>榴中</v>
          </cell>
        </row>
        <row r="32">
          <cell r="A32" t="str">
            <v>南科</v>
          </cell>
        </row>
        <row r="33">
          <cell r="A33" t="str">
            <v>安南</v>
          </cell>
        </row>
        <row r="34">
          <cell r="A34" t="str">
            <v>新營</v>
          </cell>
        </row>
        <row r="35">
          <cell r="A35" t="str">
            <v>三竹</v>
          </cell>
        </row>
        <row r="36">
          <cell r="A36" t="str">
            <v>下營</v>
          </cell>
        </row>
        <row r="37">
          <cell r="A37" t="str">
            <v>太鐵</v>
          </cell>
        </row>
        <row r="38">
          <cell r="A38" t="str">
            <v>和順</v>
          </cell>
        </row>
        <row r="39">
          <cell r="A39" t="str">
            <v>南濱</v>
          </cell>
        </row>
        <row r="40">
          <cell r="A40" t="str">
            <v>柳營</v>
          </cell>
        </row>
        <row r="41">
          <cell r="A41" t="str">
            <v>鹿耳</v>
          </cell>
        </row>
        <row r="42">
          <cell r="A42" t="str">
            <v>道爺</v>
          </cell>
        </row>
        <row r="43">
          <cell r="A43" t="str">
            <v>槺榔</v>
          </cell>
        </row>
        <row r="44">
          <cell r="A44" t="str">
            <v>豐華</v>
          </cell>
        </row>
        <row r="46">
          <cell r="A46" t="str">
            <v>雲林區處</v>
          </cell>
        </row>
        <row r="47">
          <cell r="A47" t="str">
            <v>口湖</v>
          </cell>
        </row>
        <row r="48">
          <cell r="A48" t="str">
            <v>土庫</v>
          </cell>
        </row>
        <row r="49">
          <cell r="A49" t="str">
            <v>大美</v>
          </cell>
        </row>
        <row r="50">
          <cell r="A50" t="str">
            <v>元長</v>
          </cell>
        </row>
        <row r="51">
          <cell r="A51" t="str">
            <v>水林</v>
          </cell>
        </row>
        <row r="52">
          <cell r="A52" t="str">
            <v>古坑</v>
          </cell>
        </row>
        <row r="53">
          <cell r="A53" t="str">
            <v>西螺</v>
          </cell>
        </row>
        <row r="54">
          <cell r="A54" t="str">
            <v>東北</v>
          </cell>
        </row>
        <row r="55">
          <cell r="A55" t="str">
            <v>崙背</v>
          </cell>
        </row>
        <row r="56">
          <cell r="A56" t="str">
            <v>雲港</v>
          </cell>
        </row>
        <row r="57">
          <cell r="A57" t="str">
            <v>橋村</v>
          </cell>
        </row>
        <row r="58">
          <cell r="A58" t="str">
            <v>豐田</v>
          </cell>
        </row>
        <row r="59">
          <cell r="A59" t="str">
            <v>濁水S</v>
          </cell>
        </row>
        <row r="61">
          <cell r="A61" t="str">
            <v>三和</v>
          </cell>
        </row>
        <row r="62">
          <cell r="A62" t="str">
            <v>大寮</v>
          </cell>
        </row>
        <row r="63">
          <cell r="A63" t="str">
            <v>水上</v>
          </cell>
        </row>
        <row r="64">
          <cell r="A64" t="str">
            <v>民雄</v>
          </cell>
        </row>
        <row r="65">
          <cell r="A65" t="str">
            <v>朴子</v>
          </cell>
        </row>
        <row r="66">
          <cell r="A66" t="str">
            <v>竹崎</v>
          </cell>
        </row>
        <row r="67">
          <cell r="A67" t="str">
            <v>秀林</v>
          </cell>
        </row>
        <row r="68">
          <cell r="A68" t="str">
            <v>和睦</v>
          </cell>
        </row>
        <row r="69">
          <cell r="A69" t="str">
            <v>東石</v>
          </cell>
        </row>
        <row r="70">
          <cell r="A70" t="str">
            <v>後湖</v>
          </cell>
        </row>
        <row r="71">
          <cell r="A71" t="str">
            <v>博愛</v>
          </cell>
        </row>
        <row r="72">
          <cell r="A72" t="str">
            <v>新港</v>
          </cell>
        </row>
        <row r="73">
          <cell r="A73" t="str">
            <v>新塭</v>
          </cell>
        </row>
        <row r="74">
          <cell r="A74" t="str">
            <v>嘉太</v>
          </cell>
        </row>
        <row r="75">
          <cell r="A75" t="str">
            <v>嘉埔</v>
          </cell>
        </row>
        <row r="76">
          <cell r="A76" t="str">
            <v>奮起</v>
          </cell>
        </row>
        <row r="77">
          <cell r="A77" t="str">
            <v>頭橋</v>
          </cell>
        </row>
        <row r="79">
          <cell r="A79" t="str">
            <v>永華</v>
          </cell>
        </row>
        <row r="80">
          <cell r="A80" t="str">
            <v>白河</v>
          </cell>
        </row>
        <row r="81">
          <cell r="A81" t="str">
            <v>官田</v>
          </cell>
        </row>
        <row r="82">
          <cell r="A82" t="str">
            <v>麻豆</v>
          </cell>
        </row>
        <row r="83">
          <cell r="A83" t="str">
            <v>隆田</v>
          </cell>
        </row>
        <row r="84">
          <cell r="A84" t="str">
            <v>新西</v>
          </cell>
        </row>
        <row r="85">
          <cell r="A85" t="str">
            <v>新東</v>
          </cell>
        </row>
        <row r="86">
          <cell r="A86" t="str">
            <v>學甲</v>
          </cell>
        </row>
        <row r="88">
          <cell r="A88" t="str">
            <v>大灣</v>
          </cell>
        </row>
        <row r="89">
          <cell r="A89" t="str">
            <v>山頂</v>
          </cell>
        </row>
        <row r="90">
          <cell r="A90" t="str">
            <v>永康</v>
          </cell>
        </row>
        <row r="91">
          <cell r="A91" t="str">
            <v>光洲</v>
          </cell>
        </row>
        <row r="92">
          <cell r="A92" t="str">
            <v>安順</v>
          </cell>
        </row>
        <row r="93">
          <cell r="A93" t="str">
            <v>車行</v>
          </cell>
        </row>
        <row r="94">
          <cell r="A94" t="str">
            <v>佳里</v>
          </cell>
        </row>
        <row r="95">
          <cell r="A95" t="str">
            <v>保安</v>
          </cell>
        </row>
        <row r="96">
          <cell r="A96" t="str">
            <v>南化</v>
          </cell>
        </row>
        <row r="97">
          <cell r="A97" t="str">
            <v>後甲</v>
          </cell>
        </row>
        <row r="98">
          <cell r="A98" t="str">
            <v>健康</v>
          </cell>
        </row>
        <row r="99">
          <cell r="A99" t="str">
            <v>善化</v>
          </cell>
        </row>
        <row r="100">
          <cell r="A100" t="str">
            <v>開元</v>
          </cell>
        </row>
        <row r="101">
          <cell r="A101" t="str">
            <v>新市</v>
          </cell>
        </row>
        <row r="102">
          <cell r="A102" t="str">
            <v>運河</v>
          </cell>
        </row>
        <row r="103">
          <cell r="A103" t="str">
            <v>歸仁</v>
          </cell>
        </row>
        <row r="104">
          <cell r="A104" t="str">
            <v>楠埔</v>
          </cell>
        </row>
        <row r="106">
          <cell r="A106" t="str">
            <v>曾文</v>
          </cell>
        </row>
        <row r="107">
          <cell r="A107" t="str">
            <v>濁水G</v>
          </cell>
        </row>
        <row r="108">
          <cell r="A108" t="str">
            <v>國內400</v>
          </cell>
        </row>
        <row r="109">
          <cell r="A109" t="str">
            <v>國內250</v>
          </cell>
        </row>
        <row r="111">
          <cell r="A111" t="str">
            <v>107TR汰(嘉南)</v>
          </cell>
        </row>
        <row r="112">
          <cell r="A112" t="str">
            <v>107TR汰(區250)</v>
          </cell>
        </row>
        <row r="113">
          <cell r="A113" t="str">
            <v>107TR汰(區400)</v>
          </cell>
        </row>
        <row r="115">
          <cell r="A115" t="str">
            <v>107線路汰(250)</v>
          </cell>
        </row>
        <row r="116">
          <cell r="A116" t="str">
            <v>107線路汰(400)</v>
          </cell>
        </row>
      </sheetData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FF99"/>
    <pageSetUpPr fitToPage="1"/>
  </sheetPr>
  <dimension ref="A1:AP122"/>
  <sheetViews>
    <sheetView tabSelected="1" view="pageBreakPreview" zoomScaleNormal="115" zoomScaleSheetLayoutView="100" workbookViewId="0">
      <selection activeCell="E3" sqref="E3:G7"/>
    </sheetView>
  </sheetViews>
  <sheetFormatPr defaultColWidth="9" defaultRowHeight="16.2" x14ac:dyDescent="0.3"/>
  <cols>
    <col min="1" max="1" width="7.21875" style="1" customWidth="1"/>
    <col min="2" max="2" width="5.44140625" style="1" customWidth="1"/>
    <col min="3" max="6" width="3" style="1" customWidth="1"/>
    <col min="7" max="7" width="5.77734375" style="1" customWidth="1"/>
    <col min="8" max="14" width="3" style="1" customWidth="1"/>
    <col min="15" max="15" width="14" style="1" customWidth="1"/>
    <col min="16" max="16" width="0.33203125" style="1" hidden="1" customWidth="1"/>
    <col min="17" max="18" width="3.44140625" style="1" customWidth="1"/>
    <col min="19" max="20" width="3.109375" style="2" customWidth="1"/>
    <col min="21" max="21" width="4.88671875" style="1" customWidth="1"/>
    <col min="22" max="22" width="9.77734375" style="1" customWidth="1"/>
    <col min="23" max="24" width="2.44140625" style="1" bestFit="1" customWidth="1"/>
    <col min="25" max="25" width="6" customWidth="1"/>
    <col min="26" max="26" width="4.88671875" style="10" customWidth="1"/>
    <col min="30" max="30" width="14.44140625" customWidth="1"/>
    <col min="31" max="31" width="30.33203125" customWidth="1"/>
    <col min="32" max="32" width="15.109375" bestFit="1" customWidth="1"/>
    <col min="33" max="33" width="4.21875" customWidth="1"/>
    <col min="34" max="34" width="6.109375" bestFit="1" customWidth="1"/>
    <col min="35" max="35" width="4.77734375" customWidth="1"/>
    <col min="36" max="36" width="8.77734375" style="3" bestFit="1" customWidth="1"/>
    <col min="37" max="37" width="11.33203125" customWidth="1"/>
    <col min="38" max="38" width="16.33203125" customWidth="1"/>
    <col min="39" max="39" width="3.88671875" bestFit="1" customWidth="1"/>
    <col min="40" max="40" width="4.33203125" bestFit="1" customWidth="1"/>
    <col min="41" max="41" width="11.109375" style="3" customWidth="1"/>
    <col min="42" max="42" width="76.77734375" customWidth="1"/>
  </cols>
  <sheetData>
    <row r="1" spans="1:42" ht="26.25" customHeight="1" x14ac:dyDescent="0.3">
      <c r="A1" s="143" t="s">
        <v>19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9"/>
      <c r="Z1" s="20"/>
      <c r="AA1" s="9"/>
      <c r="AB1" s="5"/>
      <c r="AC1" s="5"/>
    </row>
    <row r="2" spans="1:42" ht="15" customHeight="1" x14ac:dyDescent="0.3">
      <c r="A2" s="144" t="s">
        <v>20</v>
      </c>
      <c r="B2" s="144"/>
      <c r="C2" s="144"/>
      <c r="D2" s="144"/>
      <c r="E2" s="46" t="s">
        <v>54</v>
      </c>
      <c r="F2" s="44"/>
      <c r="G2" s="44"/>
      <c r="H2" s="145" t="s">
        <v>21</v>
      </c>
      <c r="I2" s="145"/>
      <c r="J2" s="145"/>
      <c r="K2" s="145"/>
      <c r="L2" s="145"/>
      <c r="M2" s="145"/>
      <c r="N2" s="145"/>
      <c r="O2" s="145"/>
      <c r="P2" s="145"/>
      <c r="Q2" s="21"/>
      <c r="R2" s="21"/>
      <c r="S2" s="22"/>
      <c r="T2" s="22"/>
      <c r="U2" s="23"/>
      <c r="V2" s="23"/>
      <c r="W2" s="23"/>
      <c r="X2" s="23"/>
      <c r="Y2" s="19"/>
      <c r="Z2" s="24"/>
    </row>
    <row r="3" spans="1:42" ht="15" customHeight="1" x14ac:dyDescent="0.3">
      <c r="A3" s="146" t="s">
        <v>34</v>
      </c>
      <c r="B3" s="146"/>
      <c r="C3" s="146"/>
      <c r="D3" s="146"/>
      <c r="E3" s="54"/>
      <c r="F3" s="45"/>
      <c r="G3" s="45"/>
      <c r="H3" s="145"/>
      <c r="I3" s="145"/>
      <c r="J3" s="145"/>
      <c r="K3" s="145"/>
      <c r="L3" s="145"/>
      <c r="M3" s="145"/>
      <c r="N3" s="145"/>
      <c r="O3" s="145"/>
      <c r="P3" s="145"/>
      <c r="Q3" s="21"/>
      <c r="R3" s="21"/>
      <c r="S3" s="22"/>
      <c r="T3" s="22"/>
      <c r="U3" s="23"/>
      <c r="V3" s="23"/>
      <c r="W3" s="23"/>
      <c r="X3" s="23"/>
      <c r="Y3" s="19"/>
      <c r="Z3" s="24"/>
    </row>
    <row r="4" spans="1:42" ht="15" customHeight="1" x14ac:dyDescent="0.3">
      <c r="A4" s="146" t="s">
        <v>35</v>
      </c>
      <c r="B4" s="146"/>
      <c r="C4" s="146"/>
      <c r="D4" s="146"/>
      <c r="E4" s="147"/>
      <c r="F4" s="148"/>
      <c r="G4" s="148"/>
      <c r="H4" s="145"/>
      <c r="I4" s="145"/>
      <c r="J4" s="145"/>
      <c r="K4" s="145"/>
      <c r="L4" s="145"/>
      <c r="M4" s="145"/>
      <c r="N4" s="145"/>
      <c r="O4" s="145"/>
      <c r="P4" s="145"/>
      <c r="Q4" s="21"/>
      <c r="R4" s="21"/>
      <c r="S4" s="22"/>
      <c r="T4" s="22"/>
      <c r="U4" s="23" t="s">
        <v>22</v>
      </c>
      <c r="V4" s="23"/>
      <c r="W4" s="23">
        <v>0</v>
      </c>
      <c r="X4" s="25">
        <v>0</v>
      </c>
      <c r="Y4" s="19"/>
      <c r="Z4" s="24"/>
    </row>
    <row r="5" spans="1:42" ht="15" customHeight="1" x14ac:dyDescent="0.3">
      <c r="A5" s="146" t="s">
        <v>36</v>
      </c>
      <c r="B5" s="146"/>
      <c r="C5" s="146"/>
      <c r="D5" s="146"/>
      <c r="E5" s="160"/>
      <c r="F5" s="161"/>
      <c r="G5" s="161"/>
      <c r="H5" s="145"/>
      <c r="I5" s="145"/>
      <c r="J5" s="145"/>
      <c r="K5" s="145"/>
      <c r="L5" s="145"/>
      <c r="M5" s="145"/>
      <c r="N5" s="145"/>
      <c r="O5" s="145"/>
      <c r="P5" s="145"/>
      <c r="Q5" s="21"/>
      <c r="R5" s="21"/>
      <c r="S5" s="22"/>
      <c r="T5" s="149" t="s">
        <v>23</v>
      </c>
      <c r="U5" s="151" t="s">
        <v>111</v>
      </c>
      <c r="V5" s="151"/>
      <c r="W5" s="151"/>
      <c r="X5" s="153" t="s">
        <v>24</v>
      </c>
      <c r="Y5" s="154"/>
      <c r="Z5" s="24"/>
    </row>
    <row r="6" spans="1:42" ht="8.25" customHeight="1" x14ac:dyDescent="0.3">
      <c r="A6" s="146" t="s">
        <v>25</v>
      </c>
      <c r="B6" s="146"/>
      <c r="C6" s="146"/>
      <c r="D6" s="146"/>
      <c r="E6" s="157"/>
      <c r="F6" s="158"/>
      <c r="G6" s="158"/>
      <c r="H6" s="145"/>
      <c r="I6" s="145"/>
      <c r="J6" s="145"/>
      <c r="K6" s="145"/>
      <c r="L6" s="145"/>
      <c r="M6" s="145"/>
      <c r="N6" s="145"/>
      <c r="O6" s="145"/>
      <c r="P6" s="145"/>
      <c r="Q6" s="21"/>
      <c r="R6" s="21"/>
      <c r="S6" s="22"/>
      <c r="T6" s="150"/>
      <c r="U6" s="152"/>
      <c r="V6" s="152"/>
      <c r="W6" s="152"/>
      <c r="X6" s="155"/>
      <c r="Y6" s="156"/>
      <c r="Z6" s="24"/>
    </row>
    <row r="7" spans="1:42" ht="8.25" customHeight="1" x14ac:dyDescent="0.3">
      <c r="A7" s="146"/>
      <c r="B7" s="146"/>
      <c r="C7" s="146"/>
      <c r="D7" s="146"/>
      <c r="E7" s="159"/>
      <c r="F7" s="159"/>
      <c r="G7" s="159"/>
      <c r="H7" s="145"/>
      <c r="I7" s="145"/>
      <c r="J7" s="145"/>
      <c r="K7" s="145"/>
      <c r="L7" s="145"/>
      <c r="M7" s="145"/>
      <c r="N7" s="145"/>
      <c r="O7" s="145"/>
      <c r="P7" s="145"/>
      <c r="Q7" s="21"/>
      <c r="R7" s="21"/>
      <c r="S7" s="22"/>
      <c r="T7" s="26"/>
      <c r="U7" s="27"/>
      <c r="V7" s="27"/>
      <c r="W7" s="27"/>
      <c r="X7" s="27"/>
      <c r="Y7" s="28"/>
      <c r="Z7" s="24"/>
    </row>
    <row r="8" spans="1:42" ht="4.6500000000000004" customHeight="1" thickBot="1" x14ac:dyDescent="0.6">
      <c r="A8" s="29"/>
      <c r="B8" s="29"/>
      <c r="C8" s="29"/>
      <c r="D8" s="29"/>
      <c r="E8" s="30"/>
      <c r="F8" s="23"/>
      <c r="G8" s="31"/>
      <c r="H8" s="32"/>
      <c r="I8" s="32"/>
      <c r="J8" s="32"/>
      <c r="K8" s="32"/>
      <c r="L8" s="32"/>
      <c r="M8" s="32"/>
      <c r="N8" s="33"/>
      <c r="O8" s="33"/>
      <c r="P8" s="34"/>
      <c r="Q8" s="34"/>
      <c r="R8" s="34"/>
      <c r="S8" s="35"/>
      <c r="T8" s="36"/>
      <c r="U8" s="37"/>
      <c r="V8" s="37"/>
      <c r="W8" s="37"/>
      <c r="X8" s="38"/>
      <c r="Y8" s="19"/>
      <c r="Z8" s="24"/>
    </row>
    <row r="9" spans="1:42" ht="12.75" customHeight="1" thickTop="1" x14ac:dyDescent="0.3">
      <c r="A9" s="124" t="s">
        <v>26</v>
      </c>
      <c r="B9" s="125"/>
      <c r="C9" s="125"/>
      <c r="D9" s="125"/>
      <c r="E9" s="125"/>
      <c r="F9" s="125"/>
      <c r="G9" s="130" t="s">
        <v>37</v>
      </c>
      <c r="H9" s="131"/>
      <c r="I9" s="131"/>
      <c r="J9" s="131"/>
      <c r="K9" s="131"/>
      <c r="L9" s="131"/>
      <c r="M9" s="131"/>
      <c r="N9" s="131"/>
      <c r="O9" s="131"/>
      <c r="P9" s="132"/>
      <c r="Q9" s="139" t="s">
        <v>27</v>
      </c>
      <c r="R9" s="140"/>
      <c r="S9" s="184" t="s">
        <v>28</v>
      </c>
      <c r="T9" s="185"/>
      <c r="U9" s="186"/>
      <c r="V9" s="174" t="s">
        <v>29</v>
      </c>
      <c r="W9" s="178" t="s">
        <v>30</v>
      </c>
      <c r="X9" s="179"/>
      <c r="Y9" s="165" t="s">
        <v>31</v>
      </c>
      <c r="Z9" s="107"/>
    </row>
    <row r="10" spans="1:42" ht="12.75" customHeight="1" x14ac:dyDescent="0.3">
      <c r="A10" s="126"/>
      <c r="B10" s="127"/>
      <c r="C10" s="127"/>
      <c r="D10" s="127"/>
      <c r="E10" s="127"/>
      <c r="F10" s="127"/>
      <c r="G10" s="133"/>
      <c r="H10" s="134"/>
      <c r="I10" s="134"/>
      <c r="J10" s="134"/>
      <c r="K10" s="134"/>
      <c r="L10" s="134"/>
      <c r="M10" s="134"/>
      <c r="N10" s="134"/>
      <c r="O10" s="134"/>
      <c r="P10" s="135"/>
      <c r="Q10" s="141"/>
      <c r="R10" s="142"/>
      <c r="S10" s="168" t="s">
        <v>27</v>
      </c>
      <c r="T10" s="169"/>
      <c r="U10" s="170" t="s">
        <v>32</v>
      </c>
      <c r="V10" s="175"/>
      <c r="W10" s="180"/>
      <c r="X10" s="181"/>
      <c r="Y10" s="166"/>
      <c r="Z10" s="107"/>
    </row>
    <row r="11" spans="1:42" ht="12.75" customHeight="1" x14ac:dyDescent="0.3">
      <c r="A11" s="128"/>
      <c r="B11" s="129"/>
      <c r="C11" s="129"/>
      <c r="D11" s="129"/>
      <c r="E11" s="129"/>
      <c r="F11" s="129"/>
      <c r="G11" s="136"/>
      <c r="H11" s="137"/>
      <c r="I11" s="137"/>
      <c r="J11" s="137"/>
      <c r="K11" s="137"/>
      <c r="L11" s="137"/>
      <c r="M11" s="137"/>
      <c r="N11" s="137"/>
      <c r="O11" s="137"/>
      <c r="P11" s="138"/>
      <c r="Q11" s="176" t="s">
        <v>38</v>
      </c>
      <c r="R11" s="177"/>
      <c r="S11" s="172" t="s">
        <v>39</v>
      </c>
      <c r="T11" s="173"/>
      <c r="U11" s="171"/>
      <c r="V11" s="171"/>
      <c r="W11" s="182"/>
      <c r="X11" s="183"/>
      <c r="Y11" s="167"/>
      <c r="Z11" s="107"/>
      <c r="AE11" s="15" t="s">
        <v>8</v>
      </c>
      <c r="AF11" s="15" t="s">
        <v>6</v>
      </c>
      <c r="AG11" s="15"/>
      <c r="AH11" s="15" t="s">
        <v>7</v>
      </c>
      <c r="AI11" s="15"/>
      <c r="AJ11" s="15" t="s">
        <v>0</v>
      </c>
      <c r="AK11" s="15" t="s">
        <v>16</v>
      </c>
      <c r="AL11" s="15" t="s">
        <v>17</v>
      </c>
      <c r="AM11" s="15"/>
      <c r="AN11" s="15"/>
      <c r="AO11" s="15"/>
      <c r="AP11" s="162" t="s">
        <v>18</v>
      </c>
    </row>
    <row r="12" spans="1:42" s="8" customFormat="1" ht="25.35" customHeight="1" x14ac:dyDescent="0.3">
      <c r="A12" s="116" t="e" vm="1">
        <f>'差假資料-FILTER'!B2</f>
        <v>#VALUE!</v>
      </c>
      <c r="B12" s="117"/>
      <c r="C12" s="117" t="e" vm="1">
        <f>'差假資料-FILTER'!C2</f>
        <v>#VALUE!</v>
      </c>
      <c r="D12" s="117"/>
      <c r="E12" s="117"/>
      <c r="F12" s="118"/>
      <c r="G12" s="119" t="e" vm="1">
        <f>'差假資料-FILTER'!G2</f>
        <v>#VALUE!</v>
      </c>
      <c r="H12" s="120"/>
      <c r="I12" s="120"/>
      <c r="J12" s="120"/>
      <c r="K12" s="120"/>
      <c r="L12" s="120"/>
      <c r="M12" s="120"/>
      <c r="N12" s="120"/>
      <c r="O12" s="120"/>
      <c r="P12" s="121"/>
      <c r="Q12" s="114" t="e" vm="1">
        <f>T('差假資料-FILTER'!H2)</f>
        <v>#VALUE!</v>
      </c>
      <c r="R12" s="115"/>
      <c r="S12" s="108"/>
      <c r="T12" s="108"/>
      <c r="U12" s="51" t="str">
        <f>IF(ISBLANK('差假資料-FILTER'!A2),"","-")</f>
        <v>-</v>
      </c>
      <c r="V12" s="52"/>
      <c r="W12" s="68"/>
      <c r="X12" s="69"/>
      <c r="Y12" s="53" t="e" vm="1">
        <f>IF('差假資料-FILTER'!I2=0,"",'差假資料-FILTER'!I2)</f>
        <v>#VALUE!</v>
      </c>
      <c r="Z12" s="40"/>
      <c r="AA12" s="7"/>
      <c r="AB12" s="11"/>
      <c r="AC12" s="7"/>
      <c r="AE12" s="12" t="s">
        <v>10</v>
      </c>
      <c r="AF12" s="13" t="s">
        <v>48</v>
      </c>
      <c r="AG12" s="13" t="s">
        <v>5</v>
      </c>
      <c r="AH12" s="13">
        <f t="shared" ref="AH12:AH17" si="0">COUNTIF(Z:Z,AF12)</f>
        <v>0</v>
      </c>
      <c r="AI12" s="13" t="s">
        <v>2</v>
      </c>
      <c r="AJ12" s="13">
        <f t="shared" ref="AJ12:AJ17" si="1">SUMIF(Z:Z,AF12,V:V)</f>
        <v>0</v>
      </c>
      <c r="AK12" s="13">
        <f t="shared" ref="AK12:AK17" si="2">SUMIF(Z:Z,AF12,Y:Y)</f>
        <v>0</v>
      </c>
      <c r="AL12" s="13">
        <f t="shared" ref="AL12:AL17" si="3">SUM(AJ12:AK12)</f>
        <v>0</v>
      </c>
      <c r="AM12" s="13" t="s">
        <v>3</v>
      </c>
      <c r="AN12" s="14" t="s">
        <v>9</v>
      </c>
      <c r="AO12" s="18"/>
      <c r="AP12" s="162"/>
    </row>
    <row r="13" spans="1:42" s="8" customFormat="1" ht="22.65" customHeight="1" x14ac:dyDescent="0.3">
      <c r="A13" s="116">
        <f>'差假資料-FILTER'!B3</f>
        <v>0</v>
      </c>
      <c r="B13" s="117"/>
      <c r="C13" s="117">
        <f>'差假資料-FILTER'!C3</f>
        <v>0</v>
      </c>
      <c r="D13" s="117"/>
      <c r="E13" s="117"/>
      <c r="F13" s="118"/>
      <c r="G13" s="119">
        <f>'差假資料-FILTER'!G3</f>
        <v>0</v>
      </c>
      <c r="H13" s="120"/>
      <c r="I13" s="120"/>
      <c r="J13" s="120"/>
      <c r="K13" s="120"/>
      <c r="L13" s="120"/>
      <c r="M13" s="120"/>
      <c r="N13" s="120"/>
      <c r="O13" s="120"/>
      <c r="P13" s="121"/>
      <c r="Q13" s="114" t="str">
        <f>T('差假資料-FILTER'!H3)</f>
        <v/>
      </c>
      <c r="R13" s="115"/>
      <c r="S13" s="108"/>
      <c r="T13" s="108"/>
      <c r="U13" s="51" t="str">
        <f>IF(ISBLANK('差假資料-FILTER'!A3),"","-")</f>
        <v/>
      </c>
      <c r="V13" s="52"/>
      <c r="W13" s="68"/>
      <c r="X13" s="69"/>
      <c r="Y13" s="53" t="str">
        <f>IF('差假資料-FILTER'!I3=0,"",'差假資料-FILTER'!I3)</f>
        <v/>
      </c>
      <c r="Z13" s="40"/>
      <c r="AA13" s="7"/>
      <c r="AB13" s="11"/>
      <c r="AC13" s="7"/>
      <c r="AE13" s="12" t="s">
        <v>15</v>
      </c>
      <c r="AF13" s="13" t="s">
        <v>49</v>
      </c>
      <c r="AG13" s="13" t="s">
        <v>1</v>
      </c>
      <c r="AH13" s="13">
        <f t="shared" si="0"/>
        <v>0</v>
      </c>
      <c r="AI13" s="13" t="s">
        <v>2</v>
      </c>
      <c r="AJ13" s="13">
        <f t="shared" si="1"/>
        <v>0</v>
      </c>
      <c r="AK13" s="13">
        <f t="shared" si="2"/>
        <v>0</v>
      </c>
      <c r="AL13" s="13">
        <f t="shared" si="3"/>
        <v>0</v>
      </c>
      <c r="AM13" s="13" t="s">
        <v>3</v>
      </c>
      <c r="AN13" s="14" t="s">
        <v>9</v>
      </c>
      <c r="AO13" s="18"/>
      <c r="AP13" s="162"/>
    </row>
    <row r="14" spans="1:42" s="8" customFormat="1" ht="25.35" customHeight="1" x14ac:dyDescent="0.3">
      <c r="A14" s="116">
        <f>'差假資料-FILTER'!B4</f>
        <v>0</v>
      </c>
      <c r="B14" s="117"/>
      <c r="C14" s="117">
        <f>'差假資料-FILTER'!C4</f>
        <v>0</v>
      </c>
      <c r="D14" s="117"/>
      <c r="E14" s="117"/>
      <c r="F14" s="118"/>
      <c r="G14" s="119">
        <f>'差假資料-FILTER'!G4</f>
        <v>0</v>
      </c>
      <c r="H14" s="120"/>
      <c r="I14" s="120"/>
      <c r="J14" s="120"/>
      <c r="K14" s="120"/>
      <c r="L14" s="120"/>
      <c r="M14" s="120"/>
      <c r="N14" s="120"/>
      <c r="O14" s="120"/>
      <c r="P14" s="121"/>
      <c r="Q14" s="114" t="str">
        <f>T('差假資料-FILTER'!H4)</f>
        <v/>
      </c>
      <c r="R14" s="115"/>
      <c r="S14" s="108"/>
      <c r="T14" s="108"/>
      <c r="U14" s="51" t="str">
        <f>IF(ISBLANK('差假資料-FILTER'!A4),"","-")</f>
        <v/>
      </c>
      <c r="V14" s="52"/>
      <c r="W14" s="68"/>
      <c r="X14" s="69"/>
      <c r="Y14" s="53" t="str">
        <f>IF('差假資料-FILTER'!I4=0,"",'差假資料-FILTER'!I4)</f>
        <v/>
      </c>
      <c r="Z14" s="40"/>
      <c r="AA14" s="7"/>
      <c r="AB14" s="11"/>
      <c r="AC14" s="7"/>
      <c r="AE14" s="12" t="s">
        <v>11</v>
      </c>
      <c r="AF14" s="13" t="s">
        <v>50</v>
      </c>
      <c r="AG14" s="13" t="s">
        <v>1</v>
      </c>
      <c r="AH14" s="13">
        <f t="shared" si="0"/>
        <v>0</v>
      </c>
      <c r="AI14" s="13" t="s">
        <v>2</v>
      </c>
      <c r="AJ14" s="13">
        <f t="shared" si="1"/>
        <v>0</v>
      </c>
      <c r="AK14" s="13">
        <f t="shared" si="2"/>
        <v>0</v>
      </c>
      <c r="AL14" s="13">
        <f t="shared" si="3"/>
        <v>0</v>
      </c>
      <c r="AM14" s="13" t="s">
        <v>3</v>
      </c>
      <c r="AN14" s="14" t="s">
        <v>9</v>
      </c>
      <c r="AO14" s="18"/>
      <c r="AP14" s="162"/>
    </row>
    <row r="15" spans="1:42" s="8" customFormat="1" ht="21" customHeight="1" x14ac:dyDescent="0.3">
      <c r="A15" s="116">
        <f>'差假資料-FILTER'!B5</f>
        <v>0</v>
      </c>
      <c r="B15" s="117"/>
      <c r="C15" s="117">
        <f>'差假資料-FILTER'!C5</f>
        <v>0</v>
      </c>
      <c r="D15" s="117"/>
      <c r="E15" s="117"/>
      <c r="F15" s="118"/>
      <c r="G15" s="119">
        <f>'差假資料-FILTER'!G5</f>
        <v>0</v>
      </c>
      <c r="H15" s="120"/>
      <c r="I15" s="120"/>
      <c r="J15" s="120"/>
      <c r="K15" s="120"/>
      <c r="L15" s="120"/>
      <c r="M15" s="120"/>
      <c r="N15" s="120"/>
      <c r="O15" s="120"/>
      <c r="P15" s="121"/>
      <c r="Q15" s="114" t="str">
        <f>T('差假資料-FILTER'!H5)</f>
        <v/>
      </c>
      <c r="R15" s="115"/>
      <c r="S15" s="108"/>
      <c r="T15" s="108"/>
      <c r="U15" s="51" t="str">
        <f>IF(ISBLANK('差假資料-FILTER'!A5),"","-")</f>
        <v/>
      </c>
      <c r="V15" s="52"/>
      <c r="W15" s="68"/>
      <c r="X15" s="69"/>
      <c r="Y15" s="53" t="str">
        <f>IF('差假資料-FILTER'!I5=0,"",'差假資料-FILTER'!I5)</f>
        <v/>
      </c>
      <c r="Z15" s="40"/>
      <c r="AA15" s="7"/>
      <c r="AB15" s="11"/>
      <c r="AC15" s="7"/>
      <c r="AE15" s="12" t="s">
        <v>12</v>
      </c>
      <c r="AF15" s="13" t="s">
        <v>51</v>
      </c>
      <c r="AG15" s="13" t="s">
        <v>1</v>
      </c>
      <c r="AH15" s="13">
        <f t="shared" si="0"/>
        <v>0</v>
      </c>
      <c r="AI15" s="13" t="s">
        <v>2</v>
      </c>
      <c r="AJ15" s="13">
        <f t="shared" si="1"/>
        <v>0</v>
      </c>
      <c r="AK15" s="13">
        <f t="shared" si="2"/>
        <v>0</v>
      </c>
      <c r="AL15" s="13">
        <f t="shared" si="3"/>
        <v>0</v>
      </c>
      <c r="AM15" s="13" t="s">
        <v>3</v>
      </c>
      <c r="AN15" s="14" t="s">
        <v>9</v>
      </c>
      <c r="AO15" s="18"/>
      <c r="AP15" s="162"/>
    </row>
    <row r="16" spans="1:42" s="8" customFormat="1" ht="25.35" customHeight="1" x14ac:dyDescent="0.3">
      <c r="A16" s="116">
        <f>'差假資料-FILTER'!B6</f>
        <v>0</v>
      </c>
      <c r="B16" s="117"/>
      <c r="C16" s="117">
        <f>'差假資料-FILTER'!C6</f>
        <v>0</v>
      </c>
      <c r="D16" s="117"/>
      <c r="E16" s="117"/>
      <c r="F16" s="118"/>
      <c r="G16" s="119">
        <f>'差假資料-FILTER'!G6</f>
        <v>0</v>
      </c>
      <c r="H16" s="120"/>
      <c r="I16" s="120"/>
      <c r="J16" s="120"/>
      <c r="K16" s="120"/>
      <c r="L16" s="120"/>
      <c r="M16" s="120"/>
      <c r="N16" s="120"/>
      <c r="O16" s="120"/>
      <c r="P16" s="121"/>
      <c r="Q16" s="114" t="str">
        <f>T('差假資料-FILTER'!H6)</f>
        <v/>
      </c>
      <c r="R16" s="115"/>
      <c r="S16" s="108"/>
      <c r="T16" s="108"/>
      <c r="U16" s="51" t="str">
        <f>IF(ISBLANK('差假資料-FILTER'!A6),"","-")</f>
        <v/>
      </c>
      <c r="V16" s="52"/>
      <c r="W16" s="68"/>
      <c r="X16" s="69"/>
      <c r="Y16" s="53" t="str">
        <f>IF('差假資料-FILTER'!I6=0,"",'差假資料-FILTER'!I6)</f>
        <v/>
      </c>
      <c r="Z16" s="40"/>
      <c r="AA16" s="7"/>
      <c r="AB16" s="11"/>
      <c r="AC16" s="7"/>
      <c r="AE16" s="12" t="s">
        <v>13</v>
      </c>
      <c r="AF16" s="13" t="s">
        <v>52</v>
      </c>
      <c r="AG16" s="13" t="s">
        <v>1</v>
      </c>
      <c r="AH16" s="13">
        <f t="shared" si="0"/>
        <v>0</v>
      </c>
      <c r="AI16" s="13" t="s">
        <v>2</v>
      </c>
      <c r="AJ16" s="13">
        <f t="shared" si="1"/>
        <v>0</v>
      </c>
      <c r="AK16" s="13">
        <f t="shared" si="2"/>
        <v>0</v>
      </c>
      <c r="AL16" s="13">
        <f t="shared" si="3"/>
        <v>0</v>
      </c>
      <c r="AM16" s="13" t="s">
        <v>3</v>
      </c>
      <c r="AN16" s="14" t="s">
        <v>9</v>
      </c>
      <c r="AO16" s="18"/>
      <c r="AP16" s="162"/>
    </row>
    <row r="17" spans="1:42" s="8" customFormat="1" ht="25.35" customHeight="1" x14ac:dyDescent="0.3">
      <c r="A17" s="116">
        <f>'差假資料-FILTER'!B7</f>
        <v>0</v>
      </c>
      <c r="B17" s="117"/>
      <c r="C17" s="117">
        <f>'差假資料-FILTER'!C7</f>
        <v>0</v>
      </c>
      <c r="D17" s="117"/>
      <c r="E17" s="117"/>
      <c r="F17" s="118"/>
      <c r="G17" s="119">
        <f>'差假資料-FILTER'!G7</f>
        <v>0</v>
      </c>
      <c r="H17" s="120"/>
      <c r="I17" s="120"/>
      <c r="J17" s="120"/>
      <c r="K17" s="120"/>
      <c r="L17" s="120"/>
      <c r="M17" s="120"/>
      <c r="N17" s="120"/>
      <c r="O17" s="120"/>
      <c r="P17" s="121"/>
      <c r="Q17" s="114" t="str">
        <f>T('差假資料-FILTER'!H7)</f>
        <v/>
      </c>
      <c r="R17" s="115"/>
      <c r="S17" s="108"/>
      <c r="T17" s="108"/>
      <c r="U17" s="51" t="str">
        <f>IF(ISBLANK('差假資料-FILTER'!A7),"","-")</f>
        <v/>
      </c>
      <c r="V17" s="52"/>
      <c r="W17" s="68"/>
      <c r="X17" s="69"/>
      <c r="Y17" s="53" t="str">
        <f>IF('差假資料-FILTER'!I7=0,"",'差假資料-FILTER'!I7)</f>
        <v/>
      </c>
      <c r="Z17" s="40"/>
      <c r="AA17" s="7"/>
      <c r="AB17" s="11"/>
      <c r="AC17" s="7"/>
      <c r="AE17" s="12" t="s">
        <v>14</v>
      </c>
      <c r="AF17" s="13" t="s">
        <v>53</v>
      </c>
      <c r="AG17" s="13" t="s">
        <v>1</v>
      </c>
      <c r="AH17" s="13">
        <f t="shared" si="0"/>
        <v>0</v>
      </c>
      <c r="AI17" s="13" t="s">
        <v>2</v>
      </c>
      <c r="AJ17" s="13">
        <f t="shared" si="1"/>
        <v>0</v>
      </c>
      <c r="AK17" s="13">
        <f t="shared" si="2"/>
        <v>0</v>
      </c>
      <c r="AL17" s="13">
        <f t="shared" si="3"/>
        <v>0</v>
      </c>
      <c r="AM17" s="13" t="s">
        <v>3</v>
      </c>
      <c r="AN17" s="14" t="s">
        <v>9</v>
      </c>
      <c r="AO17" s="18"/>
      <c r="AP17" s="162"/>
    </row>
    <row r="18" spans="1:42" s="8" customFormat="1" ht="25.35" customHeight="1" x14ac:dyDescent="0.3">
      <c r="A18" s="116">
        <f>'差假資料-FILTER'!B8</f>
        <v>0</v>
      </c>
      <c r="B18" s="117"/>
      <c r="C18" s="117">
        <f>'差假資料-FILTER'!C8</f>
        <v>0</v>
      </c>
      <c r="D18" s="117"/>
      <c r="E18" s="117"/>
      <c r="F18" s="118"/>
      <c r="G18" s="119">
        <f>'差假資料-FILTER'!G8</f>
        <v>0</v>
      </c>
      <c r="H18" s="120"/>
      <c r="I18" s="120"/>
      <c r="J18" s="120"/>
      <c r="K18" s="120"/>
      <c r="L18" s="120"/>
      <c r="M18" s="120"/>
      <c r="N18" s="120"/>
      <c r="O18" s="120"/>
      <c r="P18" s="121"/>
      <c r="Q18" s="114" t="str">
        <f>T('差假資料-FILTER'!H8)</f>
        <v/>
      </c>
      <c r="R18" s="115"/>
      <c r="S18" s="122"/>
      <c r="T18" s="123"/>
      <c r="U18" s="51" t="str">
        <f>IF(ISBLANK('差假資料-FILTER'!A8),"","-")</f>
        <v/>
      </c>
      <c r="V18" s="52"/>
      <c r="W18" s="68"/>
      <c r="X18" s="69"/>
      <c r="Y18" s="53" t="str">
        <f>IF('差假資料-FILTER'!I8=0,"",'差假資料-FILTER'!I8)</f>
        <v/>
      </c>
      <c r="Z18" s="40"/>
      <c r="AA18" s="7"/>
      <c r="AB18" s="11"/>
      <c r="AC18" s="7"/>
      <c r="AE18" s="14"/>
      <c r="AF18" s="13"/>
      <c r="AG18" s="13" t="s">
        <v>1</v>
      </c>
      <c r="AH18" s="13"/>
      <c r="AI18" s="13" t="s">
        <v>2</v>
      </c>
      <c r="AJ18" s="13"/>
      <c r="AK18" s="13"/>
      <c r="AL18" s="13"/>
      <c r="AM18" s="13" t="s">
        <v>3</v>
      </c>
      <c r="AN18" s="14" t="s">
        <v>9</v>
      </c>
      <c r="AO18" s="18"/>
      <c r="AP18" s="162"/>
    </row>
    <row r="19" spans="1:42" s="8" customFormat="1" ht="25.35" customHeight="1" x14ac:dyDescent="0.3">
      <c r="A19" s="116">
        <f>'差假資料-FILTER'!B9</f>
        <v>0</v>
      </c>
      <c r="B19" s="117"/>
      <c r="C19" s="117">
        <f>'差假資料-FILTER'!C9</f>
        <v>0</v>
      </c>
      <c r="D19" s="117"/>
      <c r="E19" s="117"/>
      <c r="F19" s="118"/>
      <c r="G19" s="119">
        <f>'差假資料-FILTER'!G9</f>
        <v>0</v>
      </c>
      <c r="H19" s="120"/>
      <c r="I19" s="120"/>
      <c r="J19" s="120"/>
      <c r="K19" s="120"/>
      <c r="L19" s="120"/>
      <c r="M19" s="120"/>
      <c r="N19" s="120"/>
      <c r="O19" s="120"/>
      <c r="P19" s="121"/>
      <c r="Q19" s="114" t="str">
        <f>T('差假資料-FILTER'!H9)</f>
        <v/>
      </c>
      <c r="R19" s="115"/>
      <c r="S19" s="108"/>
      <c r="T19" s="108"/>
      <c r="U19" s="51" t="str">
        <f>IF(ISBLANK('差假資料-FILTER'!A9),"","-")</f>
        <v/>
      </c>
      <c r="V19" s="52"/>
      <c r="W19" s="68"/>
      <c r="X19" s="69"/>
      <c r="Y19" s="53" t="str">
        <f>IF('差假資料-FILTER'!I9=0,"",'差假資料-FILTER'!I9)</f>
        <v/>
      </c>
      <c r="Z19" s="40"/>
      <c r="AA19" s="7"/>
      <c r="AB19" s="11"/>
      <c r="AC19" s="7"/>
      <c r="AE19" s="14"/>
      <c r="AF19" s="13"/>
      <c r="AG19" s="13" t="s">
        <v>1</v>
      </c>
      <c r="AH19" s="13"/>
      <c r="AI19" s="13" t="s">
        <v>2</v>
      </c>
      <c r="AJ19" s="13"/>
      <c r="AK19" s="13"/>
      <c r="AL19" s="13"/>
      <c r="AM19" s="13" t="s">
        <v>3</v>
      </c>
      <c r="AN19" s="14" t="s">
        <v>9</v>
      </c>
      <c r="AO19" s="18"/>
    </row>
    <row r="20" spans="1:42" s="8" customFormat="1" ht="25.35" customHeight="1" x14ac:dyDescent="0.3">
      <c r="A20" s="116">
        <f>'差假資料-FILTER'!B10</f>
        <v>0</v>
      </c>
      <c r="B20" s="117"/>
      <c r="C20" s="117">
        <f>'差假資料-FILTER'!C10</f>
        <v>0</v>
      </c>
      <c r="D20" s="117"/>
      <c r="E20" s="117"/>
      <c r="F20" s="118"/>
      <c r="G20" s="119">
        <f>'差假資料-FILTER'!G10</f>
        <v>0</v>
      </c>
      <c r="H20" s="120"/>
      <c r="I20" s="120"/>
      <c r="J20" s="120"/>
      <c r="K20" s="120"/>
      <c r="L20" s="120"/>
      <c r="M20" s="120"/>
      <c r="N20" s="120"/>
      <c r="O20" s="120"/>
      <c r="P20" s="121"/>
      <c r="Q20" s="114" t="str">
        <f>T('差假資料-FILTER'!H10)</f>
        <v/>
      </c>
      <c r="R20" s="115"/>
      <c r="S20" s="108"/>
      <c r="T20" s="108"/>
      <c r="U20" s="51" t="str">
        <f>IF(ISBLANK('差假資料-FILTER'!A10),"","-")</f>
        <v/>
      </c>
      <c r="V20" s="52"/>
      <c r="W20" s="68"/>
      <c r="X20" s="69"/>
      <c r="Y20" s="53" t="str">
        <f>IF('差假資料-FILTER'!I10=0,"",'差假資料-FILTER'!I10)</f>
        <v/>
      </c>
      <c r="Z20" s="40"/>
      <c r="AB20" s="11"/>
      <c r="AE20" s="14"/>
      <c r="AF20" s="13"/>
      <c r="AG20" s="13" t="s">
        <v>1</v>
      </c>
      <c r="AH20" s="13"/>
      <c r="AI20" s="13" t="s">
        <v>2</v>
      </c>
      <c r="AJ20" s="13"/>
      <c r="AK20" s="13"/>
      <c r="AL20" s="13"/>
      <c r="AM20" s="13" t="s">
        <v>3</v>
      </c>
      <c r="AN20" s="14" t="s">
        <v>9</v>
      </c>
      <c r="AO20" s="18"/>
    </row>
    <row r="21" spans="1:42" s="8" customFormat="1" ht="25.35" customHeight="1" x14ac:dyDescent="0.3">
      <c r="A21" s="116">
        <f>'差假資料-FILTER'!B11</f>
        <v>0</v>
      </c>
      <c r="B21" s="117"/>
      <c r="C21" s="117">
        <f>'差假資料-FILTER'!C11</f>
        <v>0</v>
      </c>
      <c r="D21" s="117"/>
      <c r="E21" s="117"/>
      <c r="F21" s="118"/>
      <c r="G21" s="119">
        <f>'差假資料-FILTER'!G11</f>
        <v>0</v>
      </c>
      <c r="H21" s="120"/>
      <c r="I21" s="120"/>
      <c r="J21" s="120"/>
      <c r="K21" s="120"/>
      <c r="L21" s="120"/>
      <c r="M21" s="120"/>
      <c r="N21" s="120"/>
      <c r="O21" s="120"/>
      <c r="P21" s="121"/>
      <c r="Q21" s="114" t="str">
        <f>T('差假資料-FILTER'!H11)</f>
        <v/>
      </c>
      <c r="R21" s="115"/>
      <c r="S21" s="108"/>
      <c r="T21" s="108"/>
      <c r="U21" s="51" t="str">
        <f>IF(ISBLANK('差假資料-FILTER'!A11),"","-")</f>
        <v/>
      </c>
      <c r="V21" s="52"/>
      <c r="W21" s="68"/>
      <c r="X21" s="69"/>
      <c r="Y21" s="53" t="str">
        <f>IF('差假資料-FILTER'!I11=0,"",'差假資料-FILTER'!I11)</f>
        <v/>
      </c>
      <c r="Z21" s="40"/>
      <c r="AE21" s="14"/>
      <c r="AF21" s="13" t="s">
        <v>4</v>
      </c>
      <c r="AG21" s="13" t="s">
        <v>1</v>
      </c>
      <c r="AH21" s="13">
        <f>SUM(AH12:AH20)</f>
        <v>0</v>
      </c>
      <c r="AI21" s="13" t="s">
        <v>2</v>
      </c>
      <c r="AJ21" s="13">
        <f>SUM(AJ12:AJ20)</f>
        <v>0</v>
      </c>
      <c r="AK21" s="13">
        <f>SUM(AK12:AK20)</f>
        <v>0</v>
      </c>
      <c r="AL21" s="13">
        <f>SUM(AL12:AL20)</f>
        <v>0</v>
      </c>
      <c r="AM21" s="13" t="s">
        <v>3</v>
      </c>
      <c r="AN21" s="14" t="s">
        <v>9</v>
      </c>
      <c r="AO21" s="18"/>
    </row>
    <row r="22" spans="1:42" s="8" customFormat="1" ht="25.35" customHeight="1" x14ac:dyDescent="0.3">
      <c r="A22" s="116">
        <f>'差假資料-FILTER'!B12</f>
        <v>0</v>
      </c>
      <c r="B22" s="117"/>
      <c r="C22" s="117">
        <f>'差假資料-FILTER'!C12</f>
        <v>0</v>
      </c>
      <c r="D22" s="117"/>
      <c r="E22" s="117"/>
      <c r="F22" s="118"/>
      <c r="G22" s="119">
        <f>'差假資料-FILTER'!G12</f>
        <v>0</v>
      </c>
      <c r="H22" s="120"/>
      <c r="I22" s="120"/>
      <c r="J22" s="120"/>
      <c r="K22" s="120"/>
      <c r="L22" s="120"/>
      <c r="M22" s="120"/>
      <c r="N22" s="120"/>
      <c r="O22" s="120"/>
      <c r="P22" s="121"/>
      <c r="Q22" s="114" t="str">
        <f>T('差假資料-FILTER'!H12)</f>
        <v/>
      </c>
      <c r="R22" s="115"/>
      <c r="S22" s="108"/>
      <c r="T22" s="108"/>
      <c r="U22" s="51" t="str">
        <f>IF(ISBLANK('差假資料-FILTER'!A12),"","-")</f>
        <v/>
      </c>
      <c r="V22" s="52"/>
      <c r="W22" s="68"/>
      <c r="X22" s="69"/>
      <c r="Y22" s="53" t="str">
        <f>IF('差假資料-FILTER'!I12=0,"",'差假資料-FILTER'!I12)</f>
        <v/>
      </c>
      <c r="Z22" s="40"/>
      <c r="AJ22" s="16"/>
      <c r="AO22" s="16"/>
    </row>
    <row r="23" spans="1:42" s="8" customFormat="1" ht="25.35" customHeight="1" x14ac:dyDescent="0.3">
      <c r="A23" s="116">
        <f>'差假資料-FILTER'!B13</f>
        <v>0</v>
      </c>
      <c r="B23" s="117"/>
      <c r="C23" s="117">
        <f>'差假資料-FILTER'!C13</f>
        <v>0</v>
      </c>
      <c r="D23" s="117"/>
      <c r="E23" s="117"/>
      <c r="F23" s="118"/>
      <c r="G23" s="119">
        <f>'差假資料-FILTER'!G13</f>
        <v>0</v>
      </c>
      <c r="H23" s="120"/>
      <c r="I23" s="120"/>
      <c r="J23" s="120"/>
      <c r="K23" s="120"/>
      <c r="L23" s="120"/>
      <c r="M23" s="120"/>
      <c r="N23" s="120"/>
      <c r="O23" s="120"/>
      <c r="P23" s="121"/>
      <c r="Q23" s="114" t="str">
        <f>T('差假資料-FILTER'!H13)</f>
        <v/>
      </c>
      <c r="R23" s="115"/>
      <c r="S23" s="108"/>
      <c r="T23" s="108"/>
      <c r="U23" s="51" t="str">
        <f>IF(ISBLANK('差假資料-FILTER'!A13),"","-")</f>
        <v/>
      </c>
      <c r="V23" s="52"/>
      <c r="W23" s="68"/>
      <c r="X23" s="69"/>
      <c r="Y23" s="53" t="str">
        <f>IF('差假資料-FILTER'!I13=0,"",'差假資料-FILTER'!I13)</f>
        <v/>
      </c>
      <c r="Z23" s="40"/>
      <c r="AJ23" s="16"/>
      <c r="AO23" s="16"/>
    </row>
    <row r="24" spans="1:42" s="8" customFormat="1" ht="25.35" customHeight="1" x14ac:dyDescent="0.3">
      <c r="A24" s="116">
        <f>'差假資料-FILTER'!B14</f>
        <v>0</v>
      </c>
      <c r="B24" s="117"/>
      <c r="C24" s="117">
        <f>'差假資料-FILTER'!C14</f>
        <v>0</v>
      </c>
      <c r="D24" s="117"/>
      <c r="E24" s="117"/>
      <c r="F24" s="118"/>
      <c r="G24" s="119">
        <f>'差假資料-FILTER'!G14</f>
        <v>0</v>
      </c>
      <c r="H24" s="120"/>
      <c r="I24" s="120"/>
      <c r="J24" s="120"/>
      <c r="K24" s="120"/>
      <c r="L24" s="120"/>
      <c r="M24" s="120"/>
      <c r="N24" s="120"/>
      <c r="O24" s="120"/>
      <c r="P24" s="121"/>
      <c r="Q24" s="114" t="str">
        <f>T('差假資料-FILTER'!H14)</f>
        <v/>
      </c>
      <c r="R24" s="115"/>
      <c r="S24" s="108"/>
      <c r="T24" s="108"/>
      <c r="U24" s="51" t="str">
        <f>IF(ISBLANK('差假資料-FILTER'!A14),"","-")</f>
        <v/>
      </c>
      <c r="V24" s="52"/>
      <c r="W24" s="68"/>
      <c r="X24" s="69"/>
      <c r="Y24" s="53" t="str">
        <f>IF('差假資料-FILTER'!I14=0,"",'差假資料-FILTER'!I14)</f>
        <v/>
      </c>
      <c r="Z24" s="40"/>
      <c r="AJ24" s="16"/>
      <c r="AO24" s="16"/>
    </row>
    <row r="25" spans="1:42" s="8" customFormat="1" ht="25.35" customHeight="1" x14ac:dyDescent="0.3">
      <c r="A25" s="116">
        <f>'差假資料-FILTER'!B15</f>
        <v>0</v>
      </c>
      <c r="B25" s="117"/>
      <c r="C25" s="117">
        <f>'差假資料-FILTER'!C15</f>
        <v>0</v>
      </c>
      <c r="D25" s="117"/>
      <c r="E25" s="117"/>
      <c r="F25" s="118"/>
      <c r="G25" s="119">
        <f>'差假資料-FILTER'!G15</f>
        <v>0</v>
      </c>
      <c r="H25" s="120"/>
      <c r="I25" s="120"/>
      <c r="J25" s="120"/>
      <c r="K25" s="120"/>
      <c r="L25" s="120"/>
      <c r="M25" s="120"/>
      <c r="N25" s="120"/>
      <c r="O25" s="120"/>
      <c r="P25" s="121"/>
      <c r="Q25" s="114" t="str">
        <f>T('差假資料-FILTER'!H15)</f>
        <v/>
      </c>
      <c r="R25" s="115"/>
      <c r="S25" s="108"/>
      <c r="T25" s="108"/>
      <c r="U25" s="51" t="str">
        <f>IF(ISBLANK('差假資料-FILTER'!A15),"","-")</f>
        <v/>
      </c>
      <c r="V25" s="52"/>
      <c r="W25" s="68"/>
      <c r="X25" s="69"/>
      <c r="Y25" s="53" t="str">
        <f>IF('差假資料-FILTER'!I15=0,"",'差假資料-FILTER'!I15)</f>
        <v/>
      </c>
      <c r="Z25" s="40"/>
      <c r="AJ25" s="16"/>
      <c r="AO25" s="16"/>
    </row>
    <row r="26" spans="1:42" s="8" customFormat="1" ht="25.35" customHeight="1" x14ac:dyDescent="0.3">
      <c r="A26" s="116">
        <f>'差假資料-FILTER'!B16</f>
        <v>0</v>
      </c>
      <c r="B26" s="117"/>
      <c r="C26" s="117">
        <f>'差假資料-FILTER'!C16</f>
        <v>0</v>
      </c>
      <c r="D26" s="117"/>
      <c r="E26" s="117"/>
      <c r="F26" s="118"/>
      <c r="G26" s="119">
        <f>'差假資料-FILTER'!G16</f>
        <v>0</v>
      </c>
      <c r="H26" s="120"/>
      <c r="I26" s="120"/>
      <c r="J26" s="120"/>
      <c r="K26" s="120"/>
      <c r="L26" s="120"/>
      <c r="M26" s="120"/>
      <c r="N26" s="120"/>
      <c r="O26" s="120"/>
      <c r="P26" s="121"/>
      <c r="Q26" s="114" t="str">
        <f>T('差假資料-FILTER'!H16)</f>
        <v/>
      </c>
      <c r="R26" s="115"/>
      <c r="S26" s="108"/>
      <c r="T26" s="108"/>
      <c r="U26" s="51" t="str">
        <f>IF(ISBLANK('差假資料-FILTER'!A16),"","-")</f>
        <v/>
      </c>
      <c r="V26" s="52"/>
      <c r="W26" s="68"/>
      <c r="X26" s="69"/>
      <c r="Y26" s="53" t="str">
        <f>IF('差假資料-FILTER'!I16=0,"",'差假資料-FILTER'!I16)</f>
        <v/>
      </c>
      <c r="Z26" s="40"/>
      <c r="AJ26" s="16"/>
      <c r="AO26" s="16"/>
    </row>
    <row r="27" spans="1:42" s="8" customFormat="1" ht="25.35" customHeight="1" x14ac:dyDescent="0.3">
      <c r="A27" s="116">
        <f>'差假資料-FILTER'!B17</f>
        <v>0</v>
      </c>
      <c r="B27" s="117"/>
      <c r="C27" s="117">
        <f>'差假資料-FILTER'!C17</f>
        <v>0</v>
      </c>
      <c r="D27" s="117"/>
      <c r="E27" s="117"/>
      <c r="F27" s="118"/>
      <c r="G27" s="119">
        <f>'差假資料-FILTER'!G17</f>
        <v>0</v>
      </c>
      <c r="H27" s="120"/>
      <c r="I27" s="120"/>
      <c r="J27" s="120"/>
      <c r="K27" s="120"/>
      <c r="L27" s="120"/>
      <c r="M27" s="120"/>
      <c r="N27" s="120"/>
      <c r="O27" s="120"/>
      <c r="P27" s="121"/>
      <c r="Q27" s="114" t="str">
        <f>T('差假資料-FILTER'!H17)</f>
        <v/>
      </c>
      <c r="R27" s="115"/>
      <c r="S27" s="108"/>
      <c r="T27" s="108"/>
      <c r="U27" s="51" t="str">
        <f>IF(ISBLANK('差假資料-FILTER'!A17),"","-")</f>
        <v/>
      </c>
      <c r="V27" s="52"/>
      <c r="W27" s="68"/>
      <c r="X27" s="69"/>
      <c r="Y27" s="53" t="str">
        <f>IF('差假資料-FILTER'!I17=0,"",'差假資料-FILTER'!I17)</f>
        <v/>
      </c>
      <c r="Z27" s="40"/>
      <c r="AJ27" s="16"/>
      <c r="AO27" s="16"/>
    </row>
    <row r="28" spans="1:42" s="8" customFormat="1" ht="25.35" customHeight="1" x14ac:dyDescent="0.3">
      <c r="A28" s="116">
        <f>'差假資料-FILTER'!B18</f>
        <v>0</v>
      </c>
      <c r="B28" s="117"/>
      <c r="C28" s="117">
        <f>'差假資料-FILTER'!C18</f>
        <v>0</v>
      </c>
      <c r="D28" s="117"/>
      <c r="E28" s="117"/>
      <c r="F28" s="118"/>
      <c r="G28" s="119">
        <f>'差假資料-FILTER'!G18</f>
        <v>0</v>
      </c>
      <c r="H28" s="120"/>
      <c r="I28" s="120"/>
      <c r="J28" s="120"/>
      <c r="K28" s="120"/>
      <c r="L28" s="120"/>
      <c r="M28" s="120"/>
      <c r="N28" s="120"/>
      <c r="O28" s="120"/>
      <c r="P28" s="121"/>
      <c r="Q28" s="114" t="str">
        <f>T('差假資料-FILTER'!H18)</f>
        <v/>
      </c>
      <c r="R28" s="115"/>
      <c r="S28" s="108"/>
      <c r="T28" s="108"/>
      <c r="U28" s="51" t="str">
        <f>IF(ISBLANK('差假資料-FILTER'!A18),"","-")</f>
        <v/>
      </c>
      <c r="V28" s="52"/>
      <c r="W28" s="68"/>
      <c r="X28" s="69"/>
      <c r="Y28" s="53" t="str">
        <f>IF('差假資料-FILTER'!I18=0,"",'差假資料-FILTER'!I18)</f>
        <v/>
      </c>
      <c r="Z28" s="40"/>
      <c r="AJ28" s="16"/>
      <c r="AO28" s="16"/>
    </row>
    <row r="29" spans="1:42" s="8" customFormat="1" ht="25.35" customHeight="1" x14ac:dyDescent="0.3">
      <c r="A29" s="116">
        <f>'差假資料-FILTER'!B19</f>
        <v>0</v>
      </c>
      <c r="B29" s="117"/>
      <c r="C29" s="117">
        <f>'差假資料-FILTER'!C19</f>
        <v>0</v>
      </c>
      <c r="D29" s="117"/>
      <c r="E29" s="117"/>
      <c r="F29" s="118"/>
      <c r="G29" s="119">
        <f>'差假資料-FILTER'!G19</f>
        <v>0</v>
      </c>
      <c r="H29" s="120"/>
      <c r="I29" s="120"/>
      <c r="J29" s="120"/>
      <c r="K29" s="120"/>
      <c r="L29" s="120"/>
      <c r="M29" s="120"/>
      <c r="N29" s="120"/>
      <c r="O29" s="120"/>
      <c r="P29" s="121"/>
      <c r="Q29" s="114" t="str">
        <f>T('差假資料-FILTER'!H19)</f>
        <v/>
      </c>
      <c r="R29" s="115"/>
      <c r="S29" s="108"/>
      <c r="T29" s="108"/>
      <c r="U29" s="51" t="str">
        <f>IF(ISBLANK('差假資料-FILTER'!A19),"","-")</f>
        <v/>
      </c>
      <c r="V29" s="52"/>
      <c r="W29" s="68"/>
      <c r="X29" s="69"/>
      <c r="Y29" s="53" t="str">
        <f>IF('差假資料-FILTER'!I19=0,"",'差假資料-FILTER'!I19)</f>
        <v/>
      </c>
      <c r="Z29" s="40"/>
      <c r="AJ29" s="16"/>
      <c r="AO29" s="16"/>
    </row>
    <row r="30" spans="1:42" s="8" customFormat="1" ht="25.35" customHeight="1" x14ac:dyDescent="0.3">
      <c r="A30" s="116">
        <f>'差假資料-FILTER'!B20</f>
        <v>0</v>
      </c>
      <c r="B30" s="117"/>
      <c r="C30" s="117">
        <f>'差假資料-FILTER'!C20</f>
        <v>0</v>
      </c>
      <c r="D30" s="117"/>
      <c r="E30" s="117"/>
      <c r="F30" s="118"/>
      <c r="G30" s="119">
        <f>'差假資料-FILTER'!G20</f>
        <v>0</v>
      </c>
      <c r="H30" s="120"/>
      <c r="I30" s="120"/>
      <c r="J30" s="120"/>
      <c r="K30" s="120"/>
      <c r="L30" s="120"/>
      <c r="M30" s="120"/>
      <c r="N30" s="120"/>
      <c r="O30" s="120"/>
      <c r="P30" s="121"/>
      <c r="Q30" s="114" t="str">
        <f>T('差假資料-FILTER'!H20)</f>
        <v/>
      </c>
      <c r="R30" s="115"/>
      <c r="S30" s="108"/>
      <c r="T30" s="108"/>
      <c r="U30" s="51" t="str">
        <f>IF(ISBLANK('差假資料-FILTER'!A20),"","-")</f>
        <v/>
      </c>
      <c r="V30" s="52"/>
      <c r="W30" s="68"/>
      <c r="X30" s="69"/>
      <c r="Y30" s="53" t="str">
        <f>IF('差假資料-FILTER'!I20=0,"",'差假資料-FILTER'!I20)</f>
        <v/>
      </c>
      <c r="Z30" s="40"/>
      <c r="AJ30" s="16"/>
      <c r="AO30" s="16"/>
    </row>
    <row r="31" spans="1:42" s="8" customFormat="1" ht="25.35" customHeight="1" x14ac:dyDescent="0.3">
      <c r="A31" s="116">
        <f>'差假資料-FILTER'!B21</f>
        <v>0</v>
      </c>
      <c r="B31" s="117"/>
      <c r="C31" s="117">
        <f>'差假資料-FILTER'!C21</f>
        <v>0</v>
      </c>
      <c r="D31" s="117"/>
      <c r="E31" s="117"/>
      <c r="F31" s="118"/>
      <c r="G31" s="119">
        <f>'差假資料-FILTER'!G21</f>
        <v>0</v>
      </c>
      <c r="H31" s="120"/>
      <c r="I31" s="120"/>
      <c r="J31" s="120"/>
      <c r="K31" s="120"/>
      <c r="L31" s="120"/>
      <c r="M31" s="120"/>
      <c r="N31" s="120"/>
      <c r="O31" s="120"/>
      <c r="P31" s="121"/>
      <c r="Q31" s="114" t="str">
        <f>T('差假資料-FILTER'!H21)</f>
        <v/>
      </c>
      <c r="R31" s="115"/>
      <c r="S31" s="108"/>
      <c r="T31" s="108"/>
      <c r="U31" s="51" t="str">
        <f>IF(ISBLANK('差假資料-FILTER'!A21),"","-")</f>
        <v/>
      </c>
      <c r="V31" s="52"/>
      <c r="W31" s="68"/>
      <c r="X31" s="69"/>
      <c r="Y31" s="53" t="str">
        <f>IF('差假資料-FILTER'!I21=0,"",'差假資料-FILTER'!I21)</f>
        <v/>
      </c>
      <c r="Z31" s="40"/>
      <c r="AJ31" s="16"/>
      <c r="AO31" s="16"/>
    </row>
    <row r="32" spans="1:42" s="8" customFormat="1" ht="25.35" customHeight="1" x14ac:dyDescent="0.3">
      <c r="A32" s="116">
        <f>'差假資料-FILTER'!B22</f>
        <v>0</v>
      </c>
      <c r="B32" s="117"/>
      <c r="C32" s="117">
        <f>'差假資料-FILTER'!C22</f>
        <v>0</v>
      </c>
      <c r="D32" s="117"/>
      <c r="E32" s="117"/>
      <c r="F32" s="118"/>
      <c r="G32" s="119">
        <f>'差假資料-FILTER'!G22</f>
        <v>0</v>
      </c>
      <c r="H32" s="120"/>
      <c r="I32" s="120"/>
      <c r="J32" s="120"/>
      <c r="K32" s="120"/>
      <c r="L32" s="120"/>
      <c r="M32" s="120"/>
      <c r="N32" s="120"/>
      <c r="O32" s="120"/>
      <c r="P32" s="121"/>
      <c r="Q32" s="114" t="str">
        <f>T('差假資料-FILTER'!H22)</f>
        <v/>
      </c>
      <c r="R32" s="115"/>
      <c r="S32" s="108"/>
      <c r="T32" s="108"/>
      <c r="U32" s="51" t="str">
        <f>IF(ISBLANK('差假資料-FILTER'!A22),"","-")</f>
        <v/>
      </c>
      <c r="V32" s="52"/>
      <c r="W32" s="68"/>
      <c r="X32" s="69"/>
      <c r="Y32" s="53" t="str">
        <f>IF('差假資料-FILTER'!I22=0,"",'差假資料-FILTER'!I22)</f>
        <v/>
      </c>
      <c r="Z32" s="40"/>
      <c r="AJ32" s="16"/>
      <c r="AO32" s="16"/>
    </row>
    <row r="33" spans="1:41" ht="19.5" customHeight="1" x14ac:dyDescent="0.3">
      <c r="A33" s="109" t="s">
        <v>40</v>
      </c>
      <c r="B33" s="110"/>
      <c r="C33" s="110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1"/>
      <c r="U33" s="41">
        <f>SUM(U12:U32)</f>
        <v>0</v>
      </c>
      <c r="V33" s="41">
        <f>SUM(V12:V32)</f>
        <v>0</v>
      </c>
      <c r="W33" s="112">
        <f>SUM(W12:X32)</f>
        <v>0</v>
      </c>
      <c r="X33" s="113"/>
      <c r="Y33" s="39" t="e" vm="1">
        <f>SUM(Y12:Y32)</f>
        <v>#VALUE!</v>
      </c>
      <c r="Z33" s="24"/>
    </row>
    <row r="34" spans="1:41" ht="19.5" customHeight="1" x14ac:dyDescent="0.3">
      <c r="A34" s="96" t="s">
        <v>41</v>
      </c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8"/>
      <c r="U34" s="65" t="e" vm="1">
        <f>SUM(U33:Y33)</f>
        <v>#VALUE!</v>
      </c>
      <c r="V34" s="66"/>
      <c r="W34" s="66"/>
      <c r="X34" s="66"/>
      <c r="Y34" s="67"/>
      <c r="Z34" s="24"/>
    </row>
    <row r="35" spans="1:41" ht="28.5" customHeight="1" x14ac:dyDescent="0.3">
      <c r="A35" s="70" t="s">
        <v>46</v>
      </c>
      <c r="B35" s="71"/>
      <c r="C35" s="72"/>
      <c r="D35" s="76" t="e" vm="1">
        <f>U34</f>
        <v>#VALUE!</v>
      </c>
      <c r="E35" s="77"/>
      <c r="F35" s="77"/>
      <c r="G35" s="77"/>
      <c r="H35" s="77"/>
      <c r="I35" s="77"/>
      <c r="J35" s="77"/>
      <c r="K35" s="77"/>
      <c r="L35" s="78"/>
      <c r="M35" s="78"/>
      <c r="N35" s="86" t="s">
        <v>33</v>
      </c>
      <c r="O35" s="87"/>
      <c r="P35" s="90" t="s">
        <v>44</v>
      </c>
      <c r="Q35" s="91"/>
      <c r="R35" s="92"/>
      <c r="S35" s="99"/>
      <c r="T35" s="99"/>
      <c r="U35" s="100"/>
      <c r="V35" s="103" t="s">
        <v>45</v>
      </c>
      <c r="W35" s="104"/>
      <c r="X35" s="82"/>
      <c r="Y35" s="83"/>
      <c r="Z35" s="24"/>
    </row>
    <row r="36" spans="1:41" ht="16.8" thickBot="1" x14ac:dyDescent="0.35">
      <c r="A36" s="73"/>
      <c r="B36" s="74"/>
      <c r="C36" s="75"/>
      <c r="D36" s="79"/>
      <c r="E36" s="80"/>
      <c r="F36" s="80"/>
      <c r="G36" s="80"/>
      <c r="H36" s="80"/>
      <c r="I36" s="80"/>
      <c r="J36" s="80"/>
      <c r="K36" s="80"/>
      <c r="L36" s="81"/>
      <c r="M36" s="81"/>
      <c r="N36" s="88"/>
      <c r="O36" s="89"/>
      <c r="P36" s="93"/>
      <c r="Q36" s="94"/>
      <c r="R36" s="95"/>
      <c r="S36" s="101"/>
      <c r="T36" s="101"/>
      <c r="U36" s="102"/>
      <c r="V36" s="105"/>
      <c r="W36" s="106"/>
      <c r="X36" s="84"/>
      <c r="Y36" s="85"/>
      <c r="Z36" s="24"/>
    </row>
    <row r="37" spans="1:41" ht="3" customHeight="1" thickTop="1" x14ac:dyDescent="0.3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2"/>
      <c r="T37" s="22"/>
      <c r="U37" s="23"/>
      <c r="V37" s="23"/>
      <c r="W37" s="23"/>
      <c r="X37" s="23"/>
      <c r="Y37" s="19"/>
    </row>
    <row r="38" spans="1:41" ht="49.65" customHeight="1" x14ac:dyDescent="0.3">
      <c r="A38" s="42" t="s">
        <v>42</v>
      </c>
      <c r="B38" s="23"/>
      <c r="C38" s="23"/>
      <c r="D38" s="23"/>
      <c r="E38" s="23"/>
      <c r="F38" s="23"/>
      <c r="G38" s="163" t="s">
        <v>47</v>
      </c>
      <c r="H38" s="163"/>
      <c r="I38" s="163"/>
      <c r="J38" s="163"/>
      <c r="K38" s="23"/>
      <c r="L38" s="23"/>
      <c r="M38" s="23"/>
      <c r="N38" s="164" t="s">
        <v>43</v>
      </c>
      <c r="O38" s="164"/>
      <c r="P38" s="164"/>
      <c r="Q38" s="164"/>
      <c r="R38" s="164"/>
      <c r="S38" s="43"/>
      <c r="T38" s="22"/>
      <c r="U38" s="23"/>
      <c r="V38" s="23"/>
      <c r="W38" s="23"/>
      <c r="X38" s="23"/>
      <c r="Y38" s="19"/>
    </row>
    <row r="39" spans="1:41" ht="16.8" customHeight="1" x14ac:dyDescent="0.3">
      <c r="A39" s="64"/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"/>
    </row>
    <row r="40" spans="1:41" ht="24" customHeight="1" x14ac:dyDescent="0.3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"/>
    </row>
    <row r="42" spans="1:4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Z42"/>
    </row>
    <row r="43" spans="1:41" s="4" customForma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J43" s="17"/>
      <c r="AO43" s="17"/>
    </row>
    <row r="44" spans="1:41" s="4" customForma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J44" s="17"/>
      <c r="AO44" s="17"/>
    </row>
    <row r="45" spans="1:41" s="4" customForma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J45" s="17"/>
      <c r="AO45" s="17"/>
    </row>
    <row r="46" spans="1:41" s="4" customForma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J46" s="17"/>
      <c r="AO46" s="17"/>
    </row>
    <row r="47" spans="1:41" s="4" customFormat="1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J47" s="17"/>
      <c r="AO47" s="17"/>
    </row>
    <row r="48" spans="1:41" s="4" customFormat="1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J48" s="17"/>
      <c r="AO48" s="17"/>
    </row>
    <row r="49" spans="1:41" s="4" customFormat="1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J49" s="17"/>
      <c r="AO49" s="17"/>
    </row>
    <row r="50" spans="1:41" s="4" customFormat="1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J50" s="17"/>
      <c r="AO50" s="17"/>
    </row>
    <row r="51" spans="1:41" s="4" customFormat="1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J51" s="17"/>
      <c r="AO51" s="17"/>
    </row>
    <row r="52" spans="1:41" s="4" customFormat="1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J52" s="17"/>
      <c r="AO52" s="17"/>
    </row>
    <row r="53" spans="1:41" s="4" customForma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J53" s="17"/>
      <c r="AO53" s="17"/>
    </row>
    <row r="54" spans="1:41" s="4" customFormat="1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J54" s="17"/>
      <c r="AO54" s="17"/>
    </row>
    <row r="55" spans="1:41" s="4" customFormat="1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J55" s="17"/>
      <c r="AO55" s="17"/>
    </row>
    <row r="56" spans="1:41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Z56"/>
    </row>
    <row r="57" spans="1:41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Z57"/>
    </row>
    <row r="58" spans="1:41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Z58"/>
    </row>
    <row r="59" spans="1:41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Z59"/>
    </row>
    <row r="60" spans="1:41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Z60"/>
    </row>
    <row r="61" spans="1:41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Z61"/>
    </row>
    <row r="62" spans="1:41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Z62"/>
    </row>
    <row r="63" spans="1:4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Z63"/>
    </row>
    <row r="64" spans="1:41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Z64"/>
    </row>
    <row r="65" spans="1:26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Z65"/>
    </row>
    <row r="66" spans="1:26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Z66"/>
    </row>
    <row r="67" spans="1:26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Z67"/>
    </row>
    <row r="68" spans="1:26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Z68"/>
    </row>
    <row r="69" spans="1:26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Z69"/>
    </row>
    <row r="70" spans="1:26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Z70"/>
    </row>
    <row r="71" spans="1:26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Z71"/>
    </row>
    <row r="72" spans="1:26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Z72"/>
    </row>
    <row r="73" spans="1:26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Z73"/>
    </row>
    <row r="74" spans="1:26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Z74"/>
    </row>
    <row r="75" spans="1:26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Z75"/>
    </row>
    <row r="76" spans="1:26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Z76"/>
    </row>
    <row r="77" spans="1:26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Z77"/>
    </row>
    <row r="78" spans="1:26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Z78"/>
    </row>
    <row r="79" spans="1:26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Z79"/>
    </row>
    <row r="80" spans="1:26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Z80"/>
    </row>
    <row r="81" spans="1:26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Z81"/>
    </row>
    <row r="82" spans="1:26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Z82"/>
    </row>
    <row r="83" spans="1:26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Z83"/>
    </row>
    <row r="84" spans="1:26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Z84"/>
    </row>
    <row r="85" spans="1:26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Z85"/>
    </row>
    <row r="86" spans="1:26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Z86"/>
    </row>
    <row r="87" spans="1:26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Z87"/>
    </row>
    <row r="88" spans="1:26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Z88"/>
    </row>
    <row r="89" spans="1:26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Z89"/>
    </row>
    <row r="90" spans="1:26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Z90"/>
    </row>
    <row r="91" spans="1:26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Z91"/>
    </row>
    <row r="92" spans="1:26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Z92"/>
    </row>
    <row r="93" spans="1:26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Z93"/>
    </row>
    <row r="94" spans="1:26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Z94"/>
    </row>
    <row r="95" spans="1:26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Z95"/>
    </row>
    <row r="96" spans="1:26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Z96"/>
    </row>
    <row r="97" spans="1:26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Z97"/>
    </row>
    <row r="98" spans="1:26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Z98"/>
    </row>
    <row r="99" spans="1:26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Z99"/>
    </row>
    <row r="100" spans="1:26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Z100"/>
    </row>
    <row r="101" spans="1:26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Z101"/>
    </row>
    <row r="102" spans="1:26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Z102"/>
    </row>
    <row r="103" spans="1:26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Z103"/>
    </row>
    <row r="104" spans="1:26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Z104"/>
    </row>
    <row r="105" spans="1:26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Z105"/>
    </row>
    <row r="106" spans="1:26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Z106"/>
    </row>
    <row r="107" spans="1:26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Z107"/>
    </row>
    <row r="108" spans="1:26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Z108"/>
    </row>
    <row r="109" spans="1:26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Z109"/>
    </row>
    <row r="110" spans="1:26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Z110"/>
    </row>
    <row r="111" spans="1:26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Z111"/>
    </row>
    <row r="112" spans="1:26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Z112"/>
    </row>
    <row r="113" spans="1:26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Z113"/>
    </row>
    <row r="114" spans="1:26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Z114"/>
    </row>
    <row r="115" spans="1:26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Z115"/>
    </row>
    <row r="116" spans="1:26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Z116"/>
    </row>
    <row r="117" spans="1:26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Z117"/>
    </row>
    <row r="118" spans="1:26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Z118"/>
    </row>
    <row r="119" spans="1:26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Z119"/>
    </row>
    <row r="120" spans="1:26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Z120"/>
    </row>
    <row r="121" spans="1:26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Z121"/>
    </row>
    <row r="122" spans="1:26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Z122"/>
    </row>
  </sheetData>
  <sheetProtection sheet="1" selectLockedCells="1"/>
  <mergeCells count="167">
    <mergeCell ref="AP11:AP18"/>
    <mergeCell ref="G38:J38"/>
    <mergeCell ref="N38:R38"/>
    <mergeCell ref="S32:T32"/>
    <mergeCell ref="S28:T28"/>
    <mergeCell ref="S29:T29"/>
    <mergeCell ref="S30:T30"/>
    <mergeCell ref="S31:T31"/>
    <mergeCell ref="S24:T24"/>
    <mergeCell ref="S25:T25"/>
    <mergeCell ref="S26:T26"/>
    <mergeCell ref="S27:T27"/>
    <mergeCell ref="S20:T20"/>
    <mergeCell ref="S21:T21"/>
    <mergeCell ref="S22:T22"/>
    <mergeCell ref="Y9:Y11"/>
    <mergeCell ref="S10:T10"/>
    <mergeCell ref="U10:U11"/>
    <mergeCell ref="S11:T11"/>
    <mergeCell ref="V9:V11"/>
    <mergeCell ref="Q11:R11"/>
    <mergeCell ref="W9:X11"/>
    <mergeCell ref="S9:U9"/>
    <mergeCell ref="W14:X14"/>
    <mergeCell ref="A1:X1"/>
    <mergeCell ref="A2:D2"/>
    <mergeCell ref="H2:P7"/>
    <mergeCell ref="A3:D3"/>
    <mergeCell ref="A4:D4"/>
    <mergeCell ref="E4:G4"/>
    <mergeCell ref="A5:D5"/>
    <mergeCell ref="T5:T6"/>
    <mergeCell ref="U5:W6"/>
    <mergeCell ref="A6:D7"/>
    <mergeCell ref="X5:Y6"/>
    <mergeCell ref="E6:G7"/>
    <mergeCell ref="E5:G5"/>
    <mergeCell ref="A9:F11"/>
    <mergeCell ref="G9:P11"/>
    <mergeCell ref="Q9:R10"/>
    <mergeCell ref="W12:X12"/>
    <mergeCell ref="A13:B13"/>
    <mergeCell ref="C13:F13"/>
    <mergeCell ref="G13:P13"/>
    <mergeCell ref="W13:X13"/>
    <mergeCell ref="A12:B12"/>
    <mergeCell ref="C12:F12"/>
    <mergeCell ref="Q12:R12"/>
    <mergeCell ref="Q13:R13"/>
    <mergeCell ref="G12:P12"/>
    <mergeCell ref="A15:B15"/>
    <mergeCell ref="C15:F15"/>
    <mergeCell ref="G15:P15"/>
    <mergeCell ref="S15:T15"/>
    <mergeCell ref="A14:B14"/>
    <mergeCell ref="C14:F14"/>
    <mergeCell ref="Q15:R15"/>
    <mergeCell ref="Q14:R14"/>
    <mergeCell ref="G14:P14"/>
    <mergeCell ref="W16:X16"/>
    <mergeCell ref="A17:B17"/>
    <mergeCell ref="C17:F17"/>
    <mergeCell ref="G17:P17"/>
    <mergeCell ref="W17:X17"/>
    <mergeCell ref="A16:B16"/>
    <mergeCell ref="C16:F16"/>
    <mergeCell ref="Q16:R16"/>
    <mergeCell ref="Q17:R17"/>
    <mergeCell ref="G16:P16"/>
    <mergeCell ref="S16:T16"/>
    <mergeCell ref="S17:T17"/>
    <mergeCell ref="W18:X18"/>
    <mergeCell ref="A19:B19"/>
    <mergeCell ref="C19:F19"/>
    <mergeCell ref="G19:P19"/>
    <mergeCell ref="W19:X19"/>
    <mergeCell ref="A18:B18"/>
    <mergeCell ref="C18:F18"/>
    <mergeCell ref="Q19:R19"/>
    <mergeCell ref="G18:P18"/>
    <mergeCell ref="Q18:R18"/>
    <mergeCell ref="S19:T19"/>
    <mergeCell ref="S18:T18"/>
    <mergeCell ref="W20:X20"/>
    <mergeCell ref="A21:B21"/>
    <mergeCell ref="C21:F21"/>
    <mergeCell ref="G21:P21"/>
    <mergeCell ref="W21:X21"/>
    <mergeCell ref="A20:B20"/>
    <mergeCell ref="C20:F20"/>
    <mergeCell ref="Q20:R20"/>
    <mergeCell ref="Q21:R21"/>
    <mergeCell ref="G20:P20"/>
    <mergeCell ref="W25:X25"/>
    <mergeCell ref="A24:B24"/>
    <mergeCell ref="C24:F24"/>
    <mergeCell ref="Q24:R24"/>
    <mergeCell ref="Q25:R25"/>
    <mergeCell ref="G24:P24"/>
    <mergeCell ref="W22:X22"/>
    <mergeCell ref="A23:B23"/>
    <mergeCell ref="C23:F23"/>
    <mergeCell ref="G23:P23"/>
    <mergeCell ref="W23:X23"/>
    <mergeCell ref="A22:B22"/>
    <mergeCell ref="C22:F22"/>
    <mergeCell ref="Q22:R22"/>
    <mergeCell ref="Q23:R23"/>
    <mergeCell ref="G22:P22"/>
    <mergeCell ref="S23:T23"/>
    <mergeCell ref="W28:X28"/>
    <mergeCell ref="A29:B29"/>
    <mergeCell ref="C29:F29"/>
    <mergeCell ref="G29:P29"/>
    <mergeCell ref="W29:X29"/>
    <mergeCell ref="A28:B28"/>
    <mergeCell ref="C28:F28"/>
    <mergeCell ref="G28:P28"/>
    <mergeCell ref="G32:P32"/>
    <mergeCell ref="W30:X30"/>
    <mergeCell ref="A31:B31"/>
    <mergeCell ref="C31:F31"/>
    <mergeCell ref="G31:P31"/>
    <mergeCell ref="W31:X31"/>
    <mergeCell ref="A30:B30"/>
    <mergeCell ref="C30:F30"/>
    <mergeCell ref="G30:P30"/>
    <mergeCell ref="Q29:R29"/>
    <mergeCell ref="Q30:R30"/>
    <mergeCell ref="Q31:R31"/>
    <mergeCell ref="Q32:R32"/>
    <mergeCell ref="Z9:Z11"/>
    <mergeCell ref="S12:T12"/>
    <mergeCell ref="W15:X15"/>
    <mergeCell ref="S13:T13"/>
    <mergeCell ref="S14:T14"/>
    <mergeCell ref="A33:T33"/>
    <mergeCell ref="W33:X33"/>
    <mergeCell ref="Q28:R28"/>
    <mergeCell ref="W26:X26"/>
    <mergeCell ref="A27:B27"/>
    <mergeCell ref="C27:F27"/>
    <mergeCell ref="G27:P27"/>
    <mergeCell ref="W27:X27"/>
    <mergeCell ref="A26:B26"/>
    <mergeCell ref="C26:F26"/>
    <mergeCell ref="Q26:R26"/>
    <mergeCell ref="Q27:R27"/>
    <mergeCell ref="G26:P26"/>
    <mergeCell ref="W24:X24"/>
    <mergeCell ref="A25:B25"/>
    <mergeCell ref="C25:F25"/>
    <mergeCell ref="G25:P25"/>
    <mergeCell ref="A32:B32"/>
    <mergeCell ref="C32:F32"/>
    <mergeCell ref="A40:Y40"/>
    <mergeCell ref="U34:Y34"/>
    <mergeCell ref="W32:X32"/>
    <mergeCell ref="A35:C36"/>
    <mergeCell ref="D35:M36"/>
    <mergeCell ref="X35:Y36"/>
    <mergeCell ref="N35:O36"/>
    <mergeCell ref="P35:R36"/>
    <mergeCell ref="A39:Y39"/>
    <mergeCell ref="A34:T34"/>
    <mergeCell ref="S35:U36"/>
    <mergeCell ref="V35:W36"/>
  </mergeCells>
  <phoneticPr fontId="1" type="noConversion"/>
  <printOptions horizontalCentered="1" verticalCentered="1"/>
  <pageMargins left="0.25" right="0.25" top="0.75" bottom="0.75" header="0.3" footer="0.3"/>
  <pageSetup paperSize="9" scale="89" orientation="portrait" blackAndWhite="1" r:id="rId1"/>
  <headerFooter alignWithMargins="0"/>
  <customProperties>
    <customPr name="EpmWorksheetKeyString_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70031-051F-4D21-B656-58387F39828D}">
  <sheetPr codeName="工作表2">
    <pageSetUpPr autoPageBreaks="0"/>
  </sheetPr>
  <dimension ref="A1:L51"/>
  <sheetViews>
    <sheetView zoomScale="85" zoomScaleNormal="85" workbookViewId="0">
      <selection activeCell="A2" sqref="A2:G11"/>
    </sheetView>
  </sheetViews>
  <sheetFormatPr defaultRowHeight="16.2" x14ac:dyDescent="0.3"/>
  <cols>
    <col min="1" max="1" width="6" style="4" bestFit="1" customWidth="1"/>
    <col min="2" max="2" width="20.44140625" style="4" bestFit="1" customWidth="1"/>
    <col min="3" max="3" width="11.6640625" style="4" bestFit="1" customWidth="1"/>
    <col min="4" max="5" width="6" style="4" bestFit="1" customWidth="1"/>
    <col min="6" max="6" width="81.44140625" style="4" bestFit="1" customWidth="1"/>
    <col min="7" max="7" width="10.21875" style="4" bestFit="1" customWidth="1"/>
    <col min="8" max="8" width="8.6640625" style="4" hidden="1" customWidth="1"/>
    <col min="9" max="9" width="9.77734375" style="4" hidden="1" customWidth="1"/>
    <col min="10" max="10" width="7.109375" style="4" hidden="1" customWidth="1"/>
    <col min="11" max="11" width="8.6640625" style="4" bestFit="1" customWidth="1"/>
    <col min="12" max="12" width="8.109375" style="4" bestFit="1" customWidth="1"/>
  </cols>
  <sheetData>
    <row r="1" spans="1:12" s="47" customFormat="1" x14ac:dyDescent="0.3">
      <c r="A1" s="49" t="s">
        <v>55</v>
      </c>
      <c r="B1" s="49" t="s">
        <v>56</v>
      </c>
      <c r="C1" s="49" t="s">
        <v>57</v>
      </c>
      <c r="D1" s="49" t="s">
        <v>58</v>
      </c>
      <c r="E1" s="49" t="s">
        <v>59</v>
      </c>
      <c r="F1" s="49" t="s">
        <v>60</v>
      </c>
      <c r="G1" s="49" t="s">
        <v>61</v>
      </c>
      <c r="H1" s="49" t="s">
        <v>66</v>
      </c>
      <c r="I1" s="49" t="s">
        <v>67</v>
      </c>
      <c r="J1" s="49" t="s">
        <v>68</v>
      </c>
      <c r="K1" s="49" t="s">
        <v>69</v>
      </c>
      <c r="L1" s="49" t="s">
        <v>16</v>
      </c>
    </row>
    <row r="2" spans="1:12" ht="33" customHeight="1" x14ac:dyDescent="0.3">
      <c r="A2" s="189"/>
      <c r="B2" s="58"/>
      <c r="C2" s="191"/>
      <c r="D2" s="193"/>
      <c r="E2" s="193"/>
      <c r="F2" s="191"/>
      <c r="G2" s="187"/>
      <c r="H2" s="4" t="b" cm="1">
        <f t="array" ref="H2">OR(ISNUMBER(FIND(IF(ISBLANK(里程表!A$2:A$500),FALSE,里程表!A$2:A$500),RIGHT($F2,LEN($F2)-FIND("地點",$F2)-2))))</f>
        <v>0</v>
      </c>
      <c r="I2" s="4" t="b" cm="1">
        <f t="array" ref="I2">OR(ISNUMBER(FIND(IF(ISBLANK(里程表!B$2:B$500),FALSE,里程表!B$2:B$500),RIGHT($F2,LEN($F2)-FIND("地點",$F2)-2))))</f>
        <v>0</v>
      </c>
      <c r="J2" s="4" t="b" cm="1">
        <f t="array" ref="J2">OR(ISNUMBER(FIND(IF(ISBLANK(里程表!C$2:C$500),FALSE,里程表!C$2:C$500),RIGHT($F2,LEN($F2)-FIND("地點",$F2)-2))))</f>
        <v>0</v>
      </c>
      <c r="K2" s="55" t="str">
        <f>IF(J2,$J$1,IF(I2,$I$1,IF(H2,$H$1,"")))</f>
        <v/>
      </c>
      <c r="L2" s="55" t="str">
        <f>IF(K2=$J$1,400,IF(K2=$I$1,250,IF(K2=$H$1,150,"")))</f>
        <v/>
      </c>
    </row>
    <row r="3" spans="1:12" ht="33" customHeight="1" x14ac:dyDescent="0.3">
      <c r="A3" s="190"/>
      <c r="B3" s="59"/>
      <c r="C3" s="192"/>
      <c r="D3" s="194"/>
      <c r="E3" s="194"/>
      <c r="F3" s="192"/>
      <c r="G3" s="188"/>
      <c r="H3" s="4" t="b" cm="1">
        <f t="array" ref="H3">OR(ISNUMBER(FIND(IF(ISBLANK(里程表!A$2:A$500),FALSE,里程表!A$2:A$500),RIGHT($F3,LEN($F3)-FIND("地點",$F3)-2))))</f>
        <v>0</v>
      </c>
      <c r="I3" s="4" t="b" cm="1">
        <f t="array" ref="I3">OR(ISNUMBER(FIND(IF(ISBLANK(里程表!B$2:B$500),FALSE,里程表!B$2:B$500),RIGHT($F3,LEN($F3)-FIND("地點",$F3)-2))))</f>
        <v>0</v>
      </c>
      <c r="J3" s="4" t="b" cm="1">
        <f t="array" ref="J3">OR(ISNUMBER(FIND(IF(ISBLANK(里程表!C$2:C$500),FALSE,里程表!C$2:C$500),RIGHT($F3,LEN($F3)-FIND("地點",$F3)-2))))</f>
        <v>0</v>
      </c>
      <c r="K3" s="55" t="str">
        <f t="shared" ref="K3:K51" si="0">IF(J3,$J$1,IF(I3,$I$1,IF(H3,$H$1,"")))</f>
        <v/>
      </c>
      <c r="L3" s="55" t="str">
        <f t="shared" ref="L3:L51" si="1">IF(K3=$J$1,400,IF(K3=$I$1,250,IF(K3=$H$1,150,"")))</f>
        <v/>
      </c>
    </row>
    <row r="4" spans="1:12" ht="33" customHeight="1" x14ac:dyDescent="0.3">
      <c r="A4" s="189"/>
      <c r="B4" s="58"/>
      <c r="C4" s="191"/>
      <c r="D4" s="193"/>
      <c r="E4" s="193"/>
      <c r="F4" s="191"/>
      <c r="G4" s="187"/>
      <c r="H4" s="4" t="b" cm="1">
        <f t="array" ref="H4">OR(ISNUMBER(FIND(IF(ISBLANK(里程表!A$2:A$500),FALSE,里程表!A$2:A$500),RIGHT($F4,LEN($F4)-FIND("地點",$F4)-2))))</f>
        <v>0</v>
      </c>
      <c r="I4" s="4" t="b" cm="1">
        <f t="array" ref="I4">OR(ISNUMBER(FIND(IF(ISBLANK(里程表!B$2:B$500),FALSE,里程表!B$2:B$500),RIGHT($F4,LEN($F4)-FIND("地點",$F4)-2))))</f>
        <v>0</v>
      </c>
      <c r="J4" s="4" t="b" cm="1">
        <f t="array" ref="J4">OR(ISNUMBER(FIND(IF(ISBLANK(里程表!C$2:C$500),FALSE,里程表!C$2:C$500),RIGHT($F4,LEN($F4)-FIND("地點",$F4)-2))))</f>
        <v>0</v>
      </c>
      <c r="K4" s="55" t="str">
        <f t="shared" si="0"/>
        <v/>
      </c>
      <c r="L4" s="55" t="str">
        <f t="shared" si="1"/>
        <v/>
      </c>
    </row>
    <row r="5" spans="1:12" ht="33" customHeight="1" x14ac:dyDescent="0.3">
      <c r="A5" s="190"/>
      <c r="B5" s="59"/>
      <c r="C5" s="192"/>
      <c r="D5" s="194"/>
      <c r="E5" s="194"/>
      <c r="F5" s="192"/>
      <c r="G5" s="188"/>
      <c r="H5" s="4" t="b" cm="1">
        <f t="array" ref="H5">OR(ISNUMBER(FIND(IF(ISBLANK(里程表!A$2:A$500),FALSE,里程表!A$2:A$500),RIGHT($F5,LEN($F5)-FIND("地點",$F5)-2))))</f>
        <v>0</v>
      </c>
      <c r="I5" s="4" t="b" cm="1">
        <f t="array" ref="I5">OR(ISNUMBER(FIND(IF(ISBLANK(里程表!B$2:B$500),FALSE,里程表!B$2:B$500),RIGHT($F5,LEN($F5)-FIND("地點",$F5)-2))))</f>
        <v>0</v>
      </c>
      <c r="J5" s="4" t="b" cm="1">
        <f t="array" ref="J5">OR(ISNUMBER(FIND(IF(ISBLANK(里程表!C$2:C$500),FALSE,里程表!C$2:C$500),RIGHT($F5,LEN($F5)-FIND("地點",$F5)-2))))</f>
        <v>0</v>
      </c>
      <c r="K5" s="55" t="str">
        <f t="shared" si="0"/>
        <v/>
      </c>
      <c r="L5" s="55" t="str">
        <f t="shared" si="1"/>
        <v/>
      </c>
    </row>
    <row r="6" spans="1:12" ht="33" customHeight="1" x14ac:dyDescent="0.3">
      <c r="A6" s="189"/>
      <c r="B6" s="58"/>
      <c r="C6" s="191"/>
      <c r="D6" s="193"/>
      <c r="E6" s="193"/>
      <c r="F6" s="191"/>
      <c r="G6" s="187"/>
      <c r="H6" s="4" t="b" cm="1">
        <f t="array" ref="H6">OR(ISNUMBER(FIND(IF(ISBLANK(里程表!A$2:A$500),FALSE,里程表!A$2:A$500),RIGHT($F6,LEN($F6)-FIND("地點",$F6)-2))))</f>
        <v>0</v>
      </c>
      <c r="I6" s="4" t="b" cm="1">
        <f t="array" ref="I6">OR(ISNUMBER(FIND(IF(ISBLANK(里程表!B$2:B$500),FALSE,里程表!B$2:B$500),RIGHT($F6,LEN($F6)-FIND("地點",$F6)-2))))</f>
        <v>0</v>
      </c>
      <c r="J6" s="4" t="b" cm="1">
        <f t="array" ref="J6">OR(ISNUMBER(FIND(IF(ISBLANK(里程表!C$2:C$500),FALSE,里程表!C$2:C$500),RIGHT($F6,LEN($F6)-FIND("地點",$F6)-2))))</f>
        <v>0</v>
      </c>
      <c r="K6" s="55" t="str">
        <f t="shared" si="0"/>
        <v/>
      </c>
      <c r="L6" s="55" t="str">
        <f t="shared" si="1"/>
        <v/>
      </c>
    </row>
    <row r="7" spans="1:12" ht="33" customHeight="1" x14ac:dyDescent="0.3">
      <c r="A7" s="190"/>
      <c r="B7" s="59"/>
      <c r="C7" s="192"/>
      <c r="D7" s="194"/>
      <c r="E7" s="194"/>
      <c r="F7" s="192"/>
      <c r="G7" s="188"/>
      <c r="H7" s="4" t="b" cm="1">
        <f t="array" ref="H7">OR(ISNUMBER(FIND(IF(ISBLANK(里程表!A$2:A$500),FALSE,里程表!A$2:A$500),RIGHT($F7,LEN($F7)-FIND("地點",$F7)-2))))</f>
        <v>0</v>
      </c>
      <c r="I7" s="4" t="b" cm="1">
        <f t="array" ref="I7">OR(ISNUMBER(FIND(IF(ISBLANK(里程表!B$2:B$500),FALSE,里程表!B$2:B$500),RIGHT($F7,LEN($F7)-FIND("地點",$F7)-2))))</f>
        <v>0</v>
      </c>
      <c r="J7" s="4" t="b" cm="1">
        <f t="array" ref="J7">OR(ISNUMBER(FIND(IF(ISBLANK(里程表!C$2:C$500),FALSE,里程表!C$2:C$500),RIGHT($F7,LEN($F7)-FIND("地點",$F7)-2))))</f>
        <v>0</v>
      </c>
      <c r="K7" s="55" t="str">
        <f t="shared" si="0"/>
        <v/>
      </c>
      <c r="L7" s="55" t="str">
        <f t="shared" si="1"/>
        <v/>
      </c>
    </row>
    <row r="8" spans="1:12" ht="33" customHeight="1" x14ac:dyDescent="0.3">
      <c r="A8" s="189"/>
      <c r="B8" s="58"/>
      <c r="C8" s="191"/>
      <c r="D8" s="193"/>
      <c r="E8" s="193"/>
      <c r="F8" s="191"/>
      <c r="G8" s="187"/>
      <c r="H8" s="4" t="b" cm="1">
        <f t="array" ref="H8">OR(ISNUMBER(FIND(IF(ISBLANK(里程表!A$2:A$500),FALSE,里程表!A$2:A$500),RIGHT($F8,LEN($F8)-FIND("地點",$F8)-2))))</f>
        <v>0</v>
      </c>
      <c r="I8" s="4" t="b" cm="1">
        <f t="array" ref="I8">OR(ISNUMBER(FIND(IF(ISBLANK(里程表!B$2:B$500),FALSE,里程表!B$2:B$500),RIGHT($F8,LEN($F8)-FIND("地點",$F8)-2))))</f>
        <v>0</v>
      </c>
      <c r="J8" s="4" t="b" cm="1">
        <f t="array" ref="J8">OR(ISNUMBER(FIND(IF(ISBLANK(里程表!C$2:C$500),FALSE,里程表!C$2:C$500),RIGHT($F8,LEN($F8)-FIND("地點",$F8)-2))))</f>
        <v>0</v>
      </c>
      <c r="K8" s="55" t="str">
        <f t="shared" si="0"/>
        <v/>
      </c>
      <c r="L8" s="55" t="str">
        <f t="shared" si="1"/>
        <v/>
      </c>
    </row>
    <row r="9" spans="1:12" ht="33" customHeight="1" x14ac:dyDescent="0.3">
      <c r="A9" s="190"/>
      <c r="B9" s="59"/>
      <c r="C9" s="192"/>
      <c r="D9" s="194"/>
      <c r="E9" s="194"/>
      <c r="F9" s="192"/>
      <c r="G9" s="188"/>
      <c r="H9" s="4" t="b" cm="1">
        <f t="array" ref="H9">OR(ISNUMBER(FIND(IF(ISBLANK(里程表!A$2:A$500),FALSE,里程表!A$2:A$500),RIGHT($F9,LEN($F9)-FIND("地點",$F9)-2))))</f>
        <v>0</v>
      </c>
      <c r="I9" s="4" t="b" cm="1">
        <f t="array" ref="I9">OR(ISNUMBER(FIND(IF(ISBLANK(里程表!B$2:B$500),FALSE,里程表!B$2:B$500),RIGHT($F9,LEN($F9)-FIND("地點",$F9)-2))))</f>
        <v>0</v>
      </c>
      <c r="J9" s="4" t="b" cm="1">
        <f t="array" ref="J9">OR(ISNUMBER(FIND(IF(ISBLANK(里程表!C$2:C$500),FALSE,里程表!C$2:C$500),RIGHT($F9,LEN($F9)-FIND("地點",$F9)-2))))</f>
        <v>0</v>
      </c>
      <c r="K9" s="55" t="str">
        <f t="shared" si="0"/>
        <v/>
      </c>
      <c r="L9" s="55" t="str">
        <f t="shared" si="1"/>
        <v/>
      </c>
    </row>
    <row r="10" spans="1:12" ht="33" customHeight="1" x14ac:dyDescent="0.3">
      <c r="A10" s="189"/>
      <c r="B10" s="58"/>
      <c r="C10" s="191"/>
      <c r="D10" s="193"/>
      <c r="E10" s="193"/>
      <c r="F10" s="191"/>
      <c r="G10" s="187"/>
      <c r="H10" s="4" t="b" cm="1">
        <f t="array" ref="H10">OR(ISNUMBER(FIND(IF(ISBLANK(里程表!A$2:A$500),FALSE,里程表!A$2:A$500),RIGHT($F10,LEN($F10)-FIND("地點",$F10)-2))))</f>
        <v>0</v>
      </c>
      <c r="I10" s="4" t="b" cm="1">
        <f t="array" ref="I10">OR(ISNUMBER(FIND(IF(ISBLANK(里程表!B$2:B$500),FALSE,里程表!B$2:B$500),RIGHT($F10,LEN($F10)-FIND("地點",$F10)-2))))</f>
        <v>0</v>
      </c>
      <c r="J10" s="4" t="b" cm="1">
        <f t="array" ref="J10">OR(ISNUMBER(FIND(IF(ISBLANK(里程表!C$2:C$500),FALSE,里程表!C$2:C$500),RIGHT($F10,LEN($F10)-FIND("地點",$F10)-2))))</f>
        <v>0</v>
      </c>
      <c r="K10" s="55" t="str">
        <f t="shared" si="0"/>
        <v/>
      </c>
      <c r="L10" s="55" t="str">
        <f t="shared" si="1"/>
        <v/>
      </c>
    </row>
    <row r="11" spans="1:12" ht="33" customHeight="1" x14ac:dyDescent="0.3">
      <c r="A11" s="190"/>
      <c r="B11" s="59"/>
      <c r="C11" s="192"/>
      <c r="D11" s="194"/>
      <c r="E11" s="194"/>
      <c r="F11" s="192"/>
      <c r="G11" s="188"/>
      <c r="H11" s="4" t="b" cm="1">
        <f t="array" ref="H11">OR(ISNUMBER(FIND(IF(ISBLANK(里程表!A$2:A$500),FALSE,里程表!A$2:A$500),RIGHT($F11,LEN($F11)-FIND("地點",$F11)-2))))</f>
        <v>0</v>
      </c>
      <c r="I11" s="4" t="b" cm="1">
        <f t="array" ref="I11">OR(ISNUMBER(FIND(IF(ISBLANK(里程表!B$2:B$500),FALSE,里程表!B$2:B$500),RIGHT($F11,LEN($F11)-FIND("地點",$F11)-2))))</f>
        <v>0</v>
      </c>
      <c r="J11" s="4" t="b" cm="1">
        <f t="array" ref="J11">OR(ISNUMBER(FIND(IF(ISBLANK(里程表!C$2:C$500),FALSE,里程表!C$2:C$500),RIGHT($F11,LEN($F11)-FIND("地點",$F11)-2))))</f>
        <v>0</v>
      </c>
      <c r="K11" s="55" t="str">
        <f t="shared" si="0"/>
        <v/>
      </c>
      <c r="L11" s="55" t="str">
        <f t="shared" si="1"/>
        <v/>
      </c>
    </row>
    <row r="12" spans="1:12" ht="33" customHeight="1" x14ac:dyDescent="0.3">
      <c r="A12" s="56"/>
      <c r="B12" s="58"/>
      <c r="C12" s="58"/>
      <c r="D12" s="60"/>
      <c r="E12" s="60"/>
      <c r="F12" s="58"/>
      <c r="G12" s="62"/>
      <c r="H12" s="4" t="b" cm="1">
        <f t="array" ref="H12">OR(ISNUMBER(FIND(IF(ISBLANK(里程表!A$2:A$500),FALSE,里程表!A$2:A$500),RIGHT($F12,LEN($F12)-FIND("地點",$F12)-2))))</f>
        <v>0</v>
      </c>
      <c r="I12" s="4" t="b" cm="1">
        <f t="array" ref="I12">OR(ISNUMBER(FIND(IF(ISBLANK(里程表!B$2:B$500),FALSE,里程表!B$2:B$500),RIGHT($F12,LEN($F12)-FIND("地點",$F12)-2))))</f>
        <v>0</v>
      </c>
      <c r="J12" s="4" t="b" cm="1">
        <f t="array" ref="J12">OR(ISNUMBER(FIND(IF(ISBLANK(里程表!C$2:C$500),FALSE,里程表!C$2:C$500),RIGHT($F12,LEN($F12)-FIND("地點",$F12)-2))))</f>
        <v>0</v>
      </c>
      <c r="K12" s="55" t="str">
        <f t="shared" si="0"/>
        <v/>
      </c>
      <c r="L12" s="55" t="str">
        <f t="shared" si="1"/>
        <v/>
      </c>
    </row>
    <row r="13" spans="1:12" ht="33" customHeight="1" x14ac:dyDescent="0.3">
      <c r="A13" s="57"/>
      <c r="B13" s="59"/>
      <c r="C13" s="59"/>
      <c r="D13" s="61"/>
      <c r="E13" s="61"/>
      <c r="F13" s="59"/>
      <c r="G13" s="63"/>
      <c r="H13" s="4" t="b" cm="1">
        <f t="array" ref="H13">OR(ISNUMBER(FIND(IF(ISBLANK(里程表!A$2:A$500),FALSE,里程表!A$2:A$500),RIGHT($F13,LEN($F13)-FIND("地點",$F13)-2))))</f>
        <v>0</v>
      </c>
      <c r="I13" s="4" t="b" cm="1">
        <f t="array" ref="I13">OR(ISNUMBER(FIND(IF(ISBLANK(里程表!B$2:B$500),FALSE,里程表!B$2:B$500),RIGHT($F13,LEN($F13)-FIND("地點",$F13)-2))))</f>
        <v>0</v>
      </c>
      <c r="J13" s="4" t="b" cm="1">
        <f t="array" ref="J13">OR(ISNUMBER(FIND(IF(ISBLANK(里程表!C$2:C$500),FALSE,里程表!C$2:C$500),RIGHT($F13,LEN($F13)-FIND("地點",$F13)-2))))</f>
        <v>0</v>
      </c>
      <c r="K13" s="55" t="str">
        <f t="shared" si="0"/>
        <v/>
      </c>
      <c r="L13" s="55" t="str">
        <f t="shared" si="1"/>
        <v/>
      </c>
    </row>
    <row r="14" spans="1:12" x14ac:dyDescent="0.3">
      <c r="A14" s="56"/>
      <c r="B14" s="58"/>
      <c r="C14" s="58"/>
      <c r="D14" s="60"/>
      <c r="E14" s="60"/>
      <c r="F14" s="58"/>
      <c r="G14" s="62"/>
      <c r="H14" s="4" t="b" cm="1">
        <f t="array" ref="H14">OR(ISNUMBER(FIND(IF(ISBLANK(里程表!A$2:A$500),FALSE,里程表!A$2:A$500),RIGHT($F14,LEN($F14)-FIND("地點",$F14)-2))))</f>
        <v>0</v>
      </c>
      <c r="I14" s="4" t="b" cm="1">
        <f t="array" ref="I14">OR(ISNUMBER(FIND(IF(ISBLANK(里程表!B$2:B$500),FALSE,里程表!B$2:B$500),RIGHT($F14,LEN($F14)-FIND("地點",$F14)-2))))</f>
        <v>0</v>
      </c>
      <c r="J14" s="4" t="b" cm="1">
        <f t="array" ref="J14">OR(ISNUMBER(FIND(IF(ISBLANK(里程表!C$2:C$500),FALSE,里程表!C$2:C$500),RIGHT($F14,LEN($F14)-FIND("地點",$F14)-2))))</f>
        <v>0</v>
      </c>
      <c r="K14" s="55" t="str">
        <f t="shared" si="0"/>
        <v/>
      </c>
      <c r="L14" s="55" t="str">
        <f t="shared" si="1"/>
        <v/>
      </c>
    </row>
    <row r="15" spans="1:12" x14ac:dyDescent="0.3">
      <c r="A15" s="57"/>
      <c r="B15" s="59"/>
      <c r="C15" s="59"/>
      <c r="D15" s="61"/>
      <c r="E15" s="61"/>
      <c r="F15" s="59"/>
      <c r="G15" s="63"/>
      <c r="H15" s="4" t="b" cm="1">
        <f t="array" ref="H15">OR(ISNUMBER(FIND(IF(ISBLANK(里程表!A$2:A$500),FALSE,里程表!A$2:A$500),RIGHT($F15,LEN($F15)-FIND("地點",$F15)-2))))</f>
        <v>0</v>
      </c>
      <c r="I15" s="4" t="b" cm="1">
        <f t="array" ref="I15">OR(ISNUMBER(FIND(IF(ISBLANK(里程表!B$2:B$500),FALSE,里程表!B$2:B$500),RIGHT($F15,LEN($F15)-FIND("地點",$F15)-2))))</f>
        <v>0</v>
      </c>
      <c r="J15" s="4" t="b" cm="1">
        <f t="array" ref="J15">OR(ISNUMBER(FIND(IF(ISBLANK(里程表!C$2:C$500),FALSE,里程表!C$2:C$500),RIGHT($F15,LEN($F15)-FIND("地點",$F15)-2))))</f>
        <v>0</v>
      </c>
      <c r="K15" s="55" t="str">
        <f t="shared" si="0"/>
        <v/>
      </c>
      <c r="L15" s="55" t="str">
        <f t="shared" si="1"/>
        <v/>
      </c>
    </row>
    <row r="16" spans="1:12" x14ac:dyDescent="0.3">
      <c r="A16" s="56"/>
      <c r="B16" s="58"/>
      <c r="C16" s="58"/>
      <c r="D16" s="60"/>
      <c r="E16" s="60"/>
      <c r="F16" s="58"/>
      <c r="G16" s="62"/>
      <c r="H16" s="4" t="b" cm="1">
        <f t="array" ref="H16">OR(ISNUMBER(FIND(IF(ISBLANK(里程表!A$2:A$500),FALSE,里程表!A$2:A$500),RIGHT($F16,LEN($F16)-FIND("地點",$F16)-2))))</f>
        <v>0</v>
      </c>
      <c r="I16" s="4" t="b" cm="1">
        <f t="array" ref="I16">OR(ISNUMBER(FIND(IF(ISBLANK(里程表!B$2:B$500),FALSE,里程表!B$2:B$500),RIGHT($F16,LEN($F16)-FIND("地點",$F16)-2))))</f>
        <v>0</v>
      </c>
      <c r="J16" s="4" t="b" cm="1">
        <f t="array" ref="J16">OR(ISNUMBER(FIND(IF(ISBLANK(里程表!C$2:C$500),FALSE,里程表!C$2:C$500),RIGHT($F16,LEN($F16)-FIND("地點",$F16)-2))))</f>
        <v>0</v>
      </c>
      <c r="K16" s="55" t="str">
        <f t="shared" si="0"/>
        <v/>
      </c>
      <c r="L16" s="55" t="str">
        <f t="shared" si="1"/>
        <v/>
      </c>
    </row>
    <row r="17" spans="1:12" x14ac:dyDescent="0.3">
      <c r="A17" s="57"/>
      <c r="B17" s="59"/>
      <c r="C17" s="59"/>
      <c r="D17" s="61"/>
      <c r="E17" s="61"/>
      <c r="F17" s="59"/>
      <c r="G17" s="63"/>
      <c r="H17" s="4" t="b" cm="1">
        <f t="array" ref="H17">OR(ISNUMBER(FIND(IF(ISBLANK(里程表!A$2:A$500),FALSE,里程表!A$2:A$500),RIGHT($F17,LEN($F17)-FIND("地點",$F17)-2))))</f>
        <v>0</v>
      </c>
      <c r="I17" s="4" t="b" cm="1">
        <f t="array" ref="I17">OR(ISNUMBER(FIND(IF(ISBLANK(里程表!B$2:B$500),FALSE,里程表!B$2:B$500),RIGHT($F17,LEN($F17)-FIND("地點",$F17)-2))))</f>
        <v>0</v>
      </c>
      <c r="J17" s="4" t="b" cm="1">
        <f t="array" ref="J17">OR(ISNUMBER(FIND(IF(ISBLANK(里程表!C$2:C$500),FALSE,里程表!C$2:C$500),RIGHT($F17,LEN($F17)-FIND("地點",$F17)-2))))</f>
        <v>0</v>
      </c>
      <c r="K17" s="55" t="str">
        <f t="shared" si="0"/>
        <v/>
      </c>
      <c r="L17" s="55" t="str">
        <f t="shared" si="1"/>
        <v/>
      </c>
    </row>
    <row r="18" spans="1:12" x14ac:dyDescent="0.3">
      <c r="A18" s="56"/>
      <c r="B18" s="58"/>
      <c r="C18" s="58"/>
      <c r="D18" s="60"/>
      <c r="E18" s="60"/>
      <c r="F18" s="58"/>
      <c r="G18" s="62"/>
      <c r="H18" s="4" t="b" cm="1">
        <f t="array" ref="H18">OR(ISNUMBER(FIND(IF(ISBLANK(里程表!A$2:A$500),FALSE,里程表!A$2:A$500),RIGHT($F18,LEN($F18)-FIND("地點",$F18)-2))))</f>
        <v>0</v>
      </c>
      <c r="I18" s="4" t="b" cm="1">
        <f t="array" ref="I18">OR(ISNUMBER(FIND(IF(ISBLANK(里程表!B$2:B$500),FALSE,里程表!B$2:B$500),RIGHT($F18,LEN($F18)-FIND("地點",$F18)-2))))</f>
        <v>0</v>
      </c>
      <c r="J18" s="4" t="b" cm="1">
        <f t="array" ref="J18">OR(ISNUMBER(FIND(IF(ISBLANK(里程表!C$2:C$500),FALSE,里程表!C$2:C$500),RIGHT($F18,LEN($F18)-FIND("地點",$F18)-2))))</f>
        <v>0</v>
      </c>
      <c r="K18" s="55" t="str">
        <f t="shared" si="0"/>
        <v/>
      </c>
      <c r="L18" s="55" t="str">
        <f t="shared" si="1"/>
        <v/>
      </c>
    </row>
    <row r="19" spans="1:12" x14ac:dyDescent="0.3">
      <c r="A19" s="57"/>
      <c r="B19" s="59"/>
      <c r="C19" s="59"/>
      <c r="D19" s="61"/>
      <c r="E19" s="61"/>
      <c r="F19" s="59"/>
      <c r="G19" s="63"/>
      <c r="H19" s="4" t="b" cm="1">
        <f t="array" ref="H19">OR(ISNUMBER(FIND(IF(ISBLANK(里程表!A$2:A$500),FALSE,里程表!A$2:A$500),RIGHT($F19,LEN($F19)-FIND("地點",$F19)-2))))</f>
        <v>0</v>
      </c>
      <c r="I19" s="4" t="b" cm="1">
        <f t="array" ref="I19">OR(ISNUMBER(FIND(IF(ISBLANK(里程表!B$2:B$500),FALSE,里程表!B$2:B$500),RIGHT($F19,LEN($F19)-FIND("地點",$F19)-2))))</f>
        <v>0</v>
      </c>
      <c r="J19" s="4" t="b" cm="1">
        <f t="array" ref="J19">OR(ISNUMBER(FIND(IF(ISBLANK(里程表!C$2:C$500),FALSE,里程表!C$2:C$500),RIGHT($F19,LEN($F19)-FIND("地點",$F19)-2))))</f>
        <v>0</v>
      </c>
      <c r="K19" s="55" t="str">
        <f t="shared" si="0"/>
        <v/>
      </c>
      <c r="L19" s="55" t="str">
        <f t="shared" si="1"/>
        <v/>
      </c>
    </row>
    <row r="20" spans="1:12" x14ac:dyDescent="0.3">
      <c r="A20" s="56"/>
      <c r="B20" s="58"/>
      <c r="C20" s="58"/>
      <c r="D20" s="60"/>
      <c r="E20" s="60"/>
      <c r="F20" s="58"/>
      <c r="G20" s="62"/>
      <c r="H20" s="4" t="b" cm="1">
        <f t="array" ref="H20">OR(ISNUMBER(FIND(IF(ISBLANK(里程表!A$2:A$500),FALSE,里程表!A$2:A$500),RIGHT($F20,LEN($F20)-FIND("地點",$F20)-2))))</f>
        <v>0</v>
      </c>
      <c r="I20" s="4" t="b" cm="1">
        <f t="array" ref="I20">OR(ISNUMBER(FIND(IF(ISBLANK(里程表!B$2:B$500),FALSE,里程表!B$2:B$500),RIGHT($F20,LEN($F20)-FIND("地點",$F20)-2))))</f>
        <v>0</v>
      </c>
      <c r="J20" s="4" t="b" cm="1">
        <f t="array" ref="J20">OR(ISNUMBER(FIND(IF(ISBLANK(里程表!C$2:C$500),FALSE,里程表!C$2:C$500),RIGHT($F20,LEN($F20)-FIND("地點",$F20)-2))))</f>
        <v>0</v>
      </c>
      <c r="K20" s="55" t="str">
        <f t="shared" si="0"/>
        <v/>
      </c>
      <c r="L20" s="55" t="str">
        <f t="shared" si="1"/>
        <v/>
      </c>
    </row>
    <row r="21" spans="1:12" x14ac:dyDescent="0.3">
      <c r="A21" s="57"/>
      <c r="B21" s="59"/>
      <c r="C21" s="59"/>
      <c r="D21" s="61"/>
      <c r="E21" s="61"/>
      <c r="F21" s="59"/>
      <c r="G21" s="63"/>
      <c r="H21" s="4" t="b" cm="1">
        <f t="array" ref="H21">OR(ISNUMBER(FIND(IF(ISBLANK(里程表!A$2:A$500),FALSE,里程表!A$2:A$500),RIGHT($F21,LEN($F21)-FIND("地點",$F21)-2))))</f>
        <v>0</v>
      </c>
      <c r="I21" s="4" t="b" cm="1">
        <f t="array" ref="I21">OR(ISNUMBER(FIND(IF(ISBLANK(里程表!B$2:B$500),FALSE,里程表!B$2:B$500),RIGHT($F21,LEN($F21)-FIND("地點",$F21)-2))))</f>
        <v>0</v>
      </c>
      <c r="J21" s="4" t="b" cm="1">
        <f t="array" ref="J21">OR(ISNUMBER(FIND(IF(ISBLANK(里程表!C$2:C$500),FALSE,里程表!C$2:C$500),RIGHT($F21,LEN($F21)-FIND("地點",$F21)-2))))</f>
        <v>0</v>
      </c>
      <c r="K21" s="55" t="str">
        <f t="shared" si="0"/>
        <v/>
      </c>
      <c r="L21" s="55" t="str">
        <f t="shared" si="1"/>
        <v/>
      </c>
    </row>
    <row r="22" spans="1:12" x14ac:dyDescent="0.3">
      <c r="A22" s="56"/>
      <c r="B22" s="58"/>
      <c r="C22" s="58"/>
      <c r="D22" s="60"/>
      <c r="E22" s="60"/>
      <c r="F22" s="58"/>
      <c r="G22" s="62"/>
      <c r="H22" s="4" t="b" cm="1">
        <f t="array" ref="H22">OR(ISNUMBER(FIND(IF(ISBLANK(里程表!A$2:A$500),FALSE,里程表!A$2:A$500),RIGHT($F22,LEN($F22)-FIND("地點",$F22)-2))))</f>
        <v>0</v>
      </c>
      <c r="I22" s="4" t="b" cm="1">
        <f t="array" ref="I22">OR(ISNUMBER(FIND(IF(ISBLANK(里程表!B$2:B$500),FALSE,里程表!B$2:B$500),RIGHT($F22,LEN($F22)-FIND("地點",$F22)-2))))</f>
        <v>0</v>
      </c>
      <c r="J22" s="4" t="b" cm="1">
        <f t="array" ref="J22">OR(ISNUMBER(FIND(IF(ISBLANK(里程表!C$2:C$500),FALSE,里程表!C$2:C$500),RIGHT($F22,LEN($F22)-FIND("地點",$F22)-2))))</f>
        <v>0</v>
      </c>
      <c r="K22" s="55" t="str">
        <f t="shared" si="0"/>
        <v/>
      </c>
      <c r="L22" s="55" t="str">
        <f t="shared" si="1"/>
        <v/>
      </c>
    </row>
    <row r="23" spans="1:12" x14ac:dyDescent="0.3">
      <c r="A23" s="57"/>
      <c r="B23" s="59"/>
      <c r="C23" s="59"/>
      <c r="D23" s="61"/>
      <c r="E23" s="61"/>
      <c r="F23" s="59"/>
      <c r="G23" s="63"/>
      <c r="H23" s="4" t="b" cm="1">
        <f t="array" ref="H23">OR(ISNUMBER(FIND(IF(ISBLANK(里程表!A$2:A$500),FALSE,里程表!A$2:A$500),RIGHT($F23,LEN($F23)-FIND("地點",$F23)-2))))</f>
        <v>0</v>
      </c>
      <c r="I23" s="4" t="b" cm="1">
        <f t="array" ref="I23">OR(ISNUMBER(FIND(IF(ISBLANK(里程表!B$2:B$500),FALSE,里程表!B$2:B$500),RIGHT($F23,LEN($F23)-FIND("地點",$F23)-2))))</f>
        <v>0</v>
      </c>
      <c r="J23" s="4" t="b" cm="1">
        <f t="array" ref="J23">OR(ISNUMBER(FIND(IF(ISBLANK(里程表!C$2:C$500),FALSE,里程表!C$2:C$500),RIGHT($F23,LEN($F23)-FIND("地點",$F23)-2))))</f>
        <v>0</v>
      </c>
      <c r="K23" s="55" t="str">
        <f t="shared" si="0"/>
        <v/>
      </c>
      <c r="L23" s="55" t="str">
        <f t="shared" si="1"/>
        <v/>
      </c>
    </row>
    <row r="24" spans="1:12" x14ac:dyDescent="0.3">
      <c r="A24" s="56"/>
      <c r="B24" s="58"/>
      <c r="C24" s="58"/>
      <c r="D24" s="60"/>
      <c r="E24" s="60"/>
      <c r="F24" s="58"/>
      <c r="G24" s="62"/>
      <c r="H24" s="4" t="b" cm="1">
        <f t="array" ref="H24">OR(ISNUMBER(FIND(IF(ISBLANK(里程表!A$2:A$500),FALSE,里程表!A$2:A$500),RIGHT($F24,LEN($F24)-FIND("地點",$F24)-2))))</f>
        <v>0</v>
      </c>
      <c r="I24" s="4" t="b" cm="1">
        <f t="array" ref="I24">OR(ISNUMBER(FIND(IF(ISBLANK(里程表!B$2:B$500),FALSE,里程表!B$2:B$500),RIGHT($F24,LEN($F24)-FIND("地點",$F24)-2))))</f>
        <v>0</v>
      </c>
      <c r="J24" s="4" t="b" cm="1">
        <f t="array" ref="J24">OR(ISNUMBER(FIND(IF(ISBLANK(里程表!C$2:C$500),FALSE,里程表!C$2:C$500),RIGHT($F24,LEN($F24)-FIND("地點",$F24)-2))))</f>
        <v>0</v>
      </c>
      <c r="K24" s="55" t="str">
        <f t="shared" si="0"/>
        <v/>
      </c>
      <c r="L24" s="55" t="str">
        <f t="shared" si="1"/>
        <v/>
      </c>
    </row>
    <row r="25" spans="1:12" x14ac:dyDescent="0.3">
      <c r="A25" s="57"/>
      <c r="B25" s="59"/>
      <c r="C25" s="59"/>
      <c r="D25" s="61"/>
      <c r="E25" s="61"/>
      <c r="F25" s="59"/>
      <c r="G25" s="63"/>
      <c r="H25" s="4" t="b" cm="1">
        <f t="array" ref="H25">OR(ISNUMBER(FIND(IF(ISBLANK(里程表!A$2:A$500),FALSE,里程表!A$2:A$500),RIGHT($F25,LEN($F25)-FIND("地點",$F25)-2))))</f>
        <v>0</v>
      </c>
      <c r="I25" s="4" t="b" cm="1">
        <f t="array" ref="I25">OR(ISNUMBER(FIND(IF(ISBLANK(里程表!B$2:B$500),FALSE,里程表!B$2:B$500),RIGHT($F25,LEN($F25)-FIND("地點",$F25)-2))))</f>
        <v>0</v>
      </c>
      <c r="J25" s="4" t="b" cm="1">
        <f t="array" ref="J25">OR(ISNUMBER(FIND(IF(ISBLANK(里程表!C$2:C$500),FALSE,里程表!C$2:C$500),RIGHT($F25,LEN($F25)-FIND("地點",$F25)-2))))</f>
        <v>0</v>
      </c>
      <c r="K25" s="55" t="str">
        <f t="shared" si="0"/>
        <v/>
      </c>
      <c r="L25" s="55" t="str">
        <f t="shared" si="1"/>
        <v/>
      </c>
    </row>
    <row r="26" spans="1:12" x14ac:dyDescent="0.3">
      <c r="H26" s="4" t="b" cm="1">
        <f t="array" ref="H26">OR(ISNUMBER(FIND(IF(ISBLANK(里程表!A$2:A$500),FALSE,里程表!A$2:A$500),RIGHT($F26,LEN($F26)-FIND("地點",$F26)-2))))</f>
        <v>0</v>
      </c>
      <c r="I26" s="4" t="b" cm="1">
        <f t="array" ref="I26">OR(ISNUMBER(FIND(IF(ISBLANK(里程表!B$2:B$500),FALSE,里程表!B$2:B$500),RIGHT($F26,LEN($F26)-FIND("地點",$F26)-2))))</f>
        <v>0</v>
      </c>
      <c r="J26" s="4" t="b" cm="1">
        <f t="array" ref="J26">OR(ISNUMBER(FIND(IF(ISBLANK(里程表!C$2:C$500),FALSE,里程表!C$2:C$500),RIGHT($F26,LEN($F26)-FIND("地點",$F26)-2))))</f>
        <v>0</v>
      </c>
      <c r="K26" s="55" t="str">
        <f t="shared" si="0"/>
        <v/>
      </c>
      <c r="L26" s="55" t="str">
        <f t="shared" si="1"/>
        <v/>
      </c>
    </row>
    <row r="27" spans="1:12" x14ac:dyDescent="0.3">
      <c r="H27" s="4" t="b" cm="1">
        <f t="array" ref="H27">OR(ISNUMBER(FIND(IF(ISBLANK(里程表!A$2:A$500),FALSE,里程表!A$2:A$500),RIGHT($F27,LEN($F27)-FIND("地點",$F27)-2))))</f>
        <v>0</v>
      </c>
      <c r="I27" s="4" t="b" cm="1">
        <f t="array" ref="I27">OR(ISNUMBER(FIND(IF(ISBLANK(里程表!B$2:B$500),FALSE,里程表!B$2:B$500),RIGHT($F27,LEN($F27)-FIND("地點",$F27)-2))))</f>
        <v>0</v>
      </c>
      <c r="J27" s="4" t="b" cm="1">
        <f t="array" ref="J27">OR(ISNUMBER(FIND(IF(ISBLANK(里程表!C$2:C$500),FALSE,里程表!C$2:C$500),RIGHT($F27,LEN($F27)-FIND("地點",$F27)-2))))</f>
        <v>0</v>
      </c>
      <c r="K27" s="55" t="str">
        <f t="shared" si="0"/>
        <v/>
      </c>
      <c r="L27" s="55" t="str">
        <f t="shared" si="1"/>
        <v/>
      </c>
    </row>
    <row r="28" spans="1:12" x14ac:dyDescent="0.3">
      <c r="H28" s="4" t="b" cm="1">
        <f t="array" ref="H28">OR(ISNUMBER(FIND(IF(ISBLANK(里程表!A$2:A$500),FALSE,里程表!A$2:A$500),RIGHT($F28,LEN($F28)-FIND("地點",$F28)-2))))</f>
        <v>0</v>
      </c>
      <c r="I28" s="4" t="b" cm="1">
        <f t="array" ref="I28">OR(ISNUMBER(FIND(IF(ISBLANK(里程表!B$2:B$500),FALSE,里程表!B$2:B$500),RIGHT($F28,LEN($F28)-FIND("地點",$F28)-2))))</f>
        <v>0</v>
      </c>
      <c r="J28" s="4" t="b" cm="1">
        <f t="array" ref="J28">OR(ISNUMBER(FIND(IF(ISBLANK(里程表!C$2:C$500),FALSE,里程表!C$2:C$500),RIGHT($F28,LEN($F28)-FIND("地點",$F28)-2))))</f>
        <v>0</v>
      </c>
      <c r="K28" s="55" t="str">
        <f t="shared" si="0"/>
        <v/>
      </c>
      <c r="L28" s="55" t="str">
        <f t="shared" si="1"/>
        <v/>
      </c>
    </row>
    <row r="29" spans="1:12" x14ac:dyDescent="0.3">
      <c r="H29" s="4" t="b" cm="1">
        <f t="array" ref="H29">OR(ISNUMBER(FIND(IF(ISBLANK(里程表!A$2:A$500),FALSE,里程表!A$2:A$500),RIGHT($F29,LEN($F29)-FIND("地點",$F29)-2))))</f>
        <v>0</v>
      </c>
      <c r="I29" s="4" t="b" cm="1">
        <f t="array" ref="I29">OR(ISNUMBER(FIND(IF(ISBLANK(里程表!B$2:B$500),FALSE,里程表!B$2:B$500),RIGHT($F29,LEN($F29)-FIND("地點",$F29)-2))))</f>
        <v>0</v>
      </c>
      <c r="J29" s="4" t="b" cm="1">
        <f t="array" ref="J29">OR(ISNUMBER(FIND(IF(ISBLANK(里程表!C$2:C$500),FALSE,里程表!C$2:C$500),RIGHT($F29,LEN($F29)-FIND("地點",$F29)-2))))</f>
        <v>0</v>
      </c>
      <c r="K29" s="55" t="str">
        <f t="shared" si="0"/>
        <v/>
      </c>
      <c r="L29" s="55" t="str">
        <f t="shared" si="1"/>
        <v/>
      </c>
    </row>
    <row r="30" spans="1:12" x14ac:dyDescent="0.3">
      <c r="H30" s="4" t="b" cm="1">
        <f t="array" ref="H30">OR(ISNUMBER(FIND(IF(ISBLANK(里程表!A$2:A$500),FALSE,里程表!A$2:A$500),RIGHT($F30,LEN($F30)-FIND("地點",$F30)-2))))</f>
        <v>0</v>
      </c>
      <c r="I30" s="4" t="b" cm="1">
        <f t="array" ref="I30">OR(ISNUMBER(FIND(IF(ISBLANK(里程表!B$2:B$500),FALSE,里程表!B$2:B$500),RIGHT($F30,LEN($F30)-FIND("地點",$F30)-2))))</f>
        <v>0</v>
      </c>
      <c r="J30" s="4" t="b" cm="1">
        <f t="array" ref="J30">OR(ISNUMBER(FIND(IF(ISBLANK(里程表!C$2:C$500),FALSE,里程表!C$2:C$500),RIGHT($F30,LEN($F30)-FIND("地點",$F30)-2))))</f>
        <v>0</v>
      </c>
      <c r="K30" s="55" t="str">
        <f t="shared" si="0"/>
        <v/>
      </c>
      <c r="L30" s="55" t="str">
        <f t="shared" si="1"/>
        <v/>
      </c>
    </row>
    <row r="31" spans="1:12" x14ac:dyDescent="0.3">
      <c r="H31" s="4" t="b" cm="1">
        <f t="array" ref="H31">OR(ISNUMBER(FIND(IF(ISBLANK(里程表!A$2:A$500),FALSE,里程表!A$2:A$500),RIGHT($F31,LEN($F31)-FIND("地點",$F31)-2))))</f>
        <v>0</v>
      </c>
      <c r="I31" s="4" t="b" cm="1">
        <f t="array" ref="I31">OR(ISNUMBER(FIND(IF(ISBLANK(里程表!B$2:B$500),FALSE,里程表!B$2:B$500),RIGHT($F31,LEN($F31)-FIND("地點",$F31)-2))))</f>
        <v>0</v>
      </c>
      <c r="J31" s="4" t="b" cm="1">
        <f t="array" ref="J31">OR(ISNUMBER(FIND(IF(ISBLANK(里程表!C$2:C$500),FALSE,里程表!C$2:C$500),RIGHT($F31,LEN($F31)-FIND("地點",$F31)-2))))</f>
        <v>0</v>
      </c>
      <c r="K31" s="55" t="str">
        <f t="shared" si="0"/>
        <v/>
      </c>
      <c r="L31" s="55" t="str">
        <f t="shared" si="1"/>
        <v/>
      </c>
    </row>
    <row r="32" spans="1:12" x14ac:dyDescent="0.3">
      <c r="H32" s="4" t="b" cm="1">
        <f t="array" ref="H32">OR(ISNUMBER(FIND(IF(ISBLANK(里程表!A$2:A$500),FALSE,里程表!A$2:A$500),RIGHT($F32,LEN($F32)-FIND("地點",$F32)-2))))</f>
        <v>0</v>
      </c>
      <c r="I32" s="4" t="b" cm="1">
        <f t="array" ref="I32">OR(ISNUMBER(FIND(IF(ISBLANK(里程表!B$2:B$500),FALSE,里程表!B$2:B$500),RIGHT($F32,LEN($F32)-FIND("地點",$F32)-2))))</f>
        <v>0</v>
      </c>
      <c r="J32" s="4" t="b" cm="1">
        <f t="array" ref="J32">OR(ISNUMBER(FIND(IF(ISBLANK(里程表!C$2:C$500),FALSE,里程表!C$2:C$500),RIGHT($F32,LEN($F32)-FIND("地點",$F32)-2))))</f>
        <v>0</v>
      </c>
      <c r="K32" s="55" t="str">
        <f t="shared" si="0"/>
        <v/>
      </c>
      <c r="L32" s="55" t="str">
        <f t="shared" si="1"/>
        <v/>
      </c>
    </row>
    <row r="33" spans="8:12" x14ac:dyDescent="0.3">
      <c r="H33" s="4" t="b" cm="1">
        <f t="array" ref="H33">OR(ISNUMBER(FIND(IF(ISBLANK(里程表!A$2:A$500),FALSE,里程表!A$2:A$500),RIGHT($F33,LEN($F33)-FIND("地點",$F33)-2))))</f>
        <v>0</v>
      </c>
      <c r="I33" s="4" t="b" cm="1">
        <f t="array" ref="I33">OR(ISNUMBER(FIND(IF(ISBLANK(里程表!B$2:B$500),FALSE,里程表!B$2:B$500),RIGHT($F33,LEN($F33)-FIND("地點",$F33)-2))))</f>
        <v>0</v>
      </c>
      <c r="J33" s="4" t="b" cm="1">
        <f t="array" ref="J33">OR(ISNUMBER(FIND(IF(ISBLANK(里程表!C$2:C$500),FALSE,里程表!C$2:C$500),RIGHT($F33,LEN($F33)-FIND("地點",$F33)-2))))</f>
        <v>0</v>
      </c>
      <c r="K33" s="55" t="str">
        <f t="shared" si="0"/>
        <v/>
      </c>
      <c r="L33" s="55" t="str">
        <f t="shared" si="1"/>
        <v/>
      </c>
    </row>
    <row r="34" spans="8:12" x14ac:dyDescent="0.3">
      <c r="H34" s="4" t="b" cm="1">
        <f t="array" ref="H34">OR(ISNUMBER(FIND(IF(ISBLANK(里程表!A$2:A$500),FALSE,里程表!A$2:A$500),RIGHT($F34,LEN($F34)-FIND("地點",$F34)-2))))</f>
        <v>0</v>
      </c>
      <c r="I34" s="4" t="b" cm="1">
        <f t="array" ref="I34">OR(ISNUMBER(FIND(IF(ISBLANK(里程表!B$2:B$500),FALSE,里程表!B$2:B$500),RIGHT($F34,LEN($F34)-FIND("地點",$F34)-2))))</f>
        <v>0</v>
      </c>
      <c r="J34" s="4" t="b" cm="1">
        <f t="array" ref="J34">OR(ISNUMBER(FIND(IF(ISBLANK(里程表!C$2:C$500),FALSE,里程表!C$2:C$500),RIGHT($F34,LEN($F34)-FIND("地點",$F34)-2))))</f>
        <v>0</v>
      </c>
      <c r="K34" s="55" t="str">
        <f t="shared" si="0"/>
        <v/>
      </c>
      <c r="L34" s="55" t="str">
        <f t="shared" si="1"/>
        <v/>
      </c>
    </row>
    <row r="35" spans="8:12" x14ac:dyDescent="0.3">
      <c r="H35" s="4" t="b" cm="1">
        <f t="array" ref="H35">OR(ISNUMBER(FIND(IF(ISBLANK(里程表!A$2:A$500),FALSE,里程表!A$2:A$500),RIGHT($F35,LEN($F35)-FIND("地點",$F35)-2))))</f>
        <v>0</v>
      </c>
      <c r="I35" s="4" t="b" cm="1">
        <f t="array" ref="I35">OR(ISNUMBER(FIND(IF(ISBLANK(里程表!B$2:B$500),FALSE,里程表!B$2:B$500),RIGHT($F35,LEN($F35)-FIND("地點",$F35)-2))))</f>
        <v>0</v>
      </c>
      <c r="J35" s="4" t="b" cm="1">
        <f t="array" ref="J35">OR(ISNUMBER(FIND(IF(ISBLANK(里程表!C$2:C$500),FALSE,里程表!C$2:C$500),RIGHT($F35,LEN($F35)-FIND("地點",$F35)-2))))</f>
        <v>0</v>
      </c>
      <c r="K35" s="55" t="str">
        <f t="shared" si="0"/>
        <v/>
      </c>
      <c r="L35" s="55" t="str">
        <f t="shared" si="1"/>
        <v/>
      </c>
    </row>
    <row r="36" spans="8:12" x14ac:dyDescent="0.3">
      <c r="H36" s="4" t="b" cm="1">
        <f t="array" ref="H36">OR(ISNUMBER(FIND(IF(ISBLANK(里程表!A$2:A$500),FALSE,里程表!A$2:A$500),RIGHT($F36,LEN($F36)-FIND("地點",$F36)-2))))</f>
        <v>0</v>
      </c>
      <c r="I36" s="4" t="b" cm="1">
        <f t="array" ref="I36">OR(ISNUMBER(FIND(IF(ISBLANK(里程表!B$2:B$500),FALSE,里程表!B$2:B$500),RIGHT($F36,LEN($F36)-FIND("地點",$F36)-2))))</f>
        <v>0</v>
      </c>
      <c r="J36" s="4" t="b" cm="1">
        <f t="array" ref="J36">OR(ISNUMBER(FIND(IF(ISBLANK(里程表!C$2:C$500),FALSE,里程表!C$2:C$500),RIGHT($F36,LEN($F36)-FIND("地點",$F36)-2))))</f>
        <v>0</v>
      </c>
      <c r="K36" s="55" t="str">
        <f t="shared" si="0"/>
        <v/>
      </c>
      <c r="L36" s="55" t="str">
        <f t="shared" si="1"/>
        <v/>
      </c>
    </row>
    <row r="37" spans="8:12" x14ac:dyDescent="0.3">
      <c r="H37" s="4" t="b" cm="1">
        <f t="array" ref="H37">OR(ISNUMBER(FIND(IF(ISBLANK(里程表!A$2:A$500),FALSE,里程表!A$2:A$500),RIGHT($F37,LEN($F37)-FIND("地點",$F37)-2))))</f>
        <v>0</v>
      </c>
      <c r="I37" s="4" t="b" cm="1">
        <f t="array" ref="I37">OR(ISNUMBER(FIND(IF(ISBLANK(里程表!B$2:B$500),FALSE,里程表!B$2:B$500),RIGHT($F37,LEN($F37)-FIND("地點",$F37)-2))))</f>
        <v>0</v>
      </c>
      <c r="J37" s="4" t="b" cm="1">
        <f t="array" ref="J37">OR(ISNUMBER(FIND(IF(ISBLANK(里程表!C$2:C$500),FALSE,里程表!C$2:C$500),RIGHT($F37,LEN($F37)-FIND("地點",$F37)-2))))</f>
        <v>0</v>
      </c>
      <c r="K37" s="55" t="str">
        <f t="shared" si="0"/>
        <v/>
      </c>
      <c r="L37" s="55" t="str">
        <f t="shared" si="1"/>
        <v/>
      </c>
    </row>
    <row r="38" spans="8:12" x14ac:dyDescent="0.3">
      <c r="H38" s="4" t="b" cm="1">
        <f t="array" ref="H38">OR(ISNUMBER(FIND(IF(ISBLANK(里程表!A$2:A$500),FALSE,里程表!A$2:A$500),RIGHT($F38,LEN($F38)-FIND("地點",$F38)-2))))</f>
        <v>0</v>
      </c>
      <c r="I38" s="4" t="b" cm="1">
        <f t="array" ref="I38">OR(ISNUMBER(FIND(IF(ISBLANK(里程表!B$2:B$500),FALSE,里程表!B$2:B$500),RIGHT($F38,LEN($F38)-FIND("地點",$F38)-2))))</f>
        <v>0</v>
      </c>
      <c r="J38" s="4" t="b" cm="1">
        <f t="array" ref="J38">OR(ISNUMBER(FIND(IF(ISBLANK(里程表!C$2:C$500),FALSE,里程表!C$2:C$500),RIGHT($F38,LEN($F38)-FIND("地點",$F38)-2))))</f>
        <v>0</v>
      </c>
      <c r="K38" s="55" t="str">
        <f t="shared" si="0"/>
        <v/>
      </c>
      <c r="L38" s="55" t="str">
        <f t="shared" si="1"/>
        <v/>
      </c>
    </row>
    <row r="39" spans="8:12" x14ac:dyDescent="0.3">
      <c r="H39" s="4" t="b" cm="1">
        <f t="array" ref="H39">OR(ISNUMBER(FIND(IF(ISBLANK(里程表!A$2:A$500),FALSE,里程表!A$2:A$500),RIGHT($F39,LEN($F39)-FIND("地點",$F39)-2))))</f>
        <v>0</v>
      </c>
      <c r="I39" s="4" t="b" cm="1">
        <f t="array" ref="I39">OR(ISNUMBER(FIND(IF(ISBLANK(里程表!B$2:B$500),FALSE,里程表!B$2:B$500),RIGHT($F39,LEN($F39)-FIND("地點",$F39)-2))))</f>
        <v>0</v>
      </c>
      <c r="J39" s="4" t="b" cm="1">
        <f t="array" ref="J39">OR(ISNUMBER(FIND(IF(ISBLANK(里程表!C$2:C$500),FALSE,里程表!C$2:C$500),RIGHT($F39,LEN($F39)-FIND("地點",$F39)-2))))</f>
        <v>0</v>
      </c>
      <c r="K39" s="55" t="str">
        <f t="shared" si="0"/>
        <v/>
      </c>
      <c r="L39" s="55" t="str">
        <f t="shared" si="1"/>
        <v/>
      </c>
    </row>
    <row r="40" spans="8:12" x14ac:dyDescent="0.3">
      <c r="H40" s="4" t="b" cm="1">
        <f t="array" ref="H40">OR(ISNUMBER(FIND(IF(ISBLANK(里程表!A$2:A$500),FALSE,里程表!A$2:A$500),RIGHT($F40,LEN($F40)-FIND("地點",$F40)-2))))</f>
        <v>0</v>
      </c>
      <c r="I40" s="4" t="b" cm="1">
        <f t="array" ref="I40">OR(ISNUMBER(FIND(IF(ISBLANK(里程表!B$2:B$500),FALSE,里程表!B$2:B$500),RIGHT($F40,LEN($F40)-FIND("地點",$F40)-2))))</f>
        <v>0</v>
      </c>
      <c r="J40" s="4" t="b" cm="1">
        <f t="array" ref="J40">OR(ISNUMBER(FIND(IF(ISBLANK(里程表!C$2:C$500),FALSE,里程表!C$2:C$500),RIGHT($F40,LEN($F40)-FIND("地點",$F40)-2))))</f>
        <v>0</v>
      </c>
      <c r="K40" s="55" t="str">
        <f t="shared" si="0"/>
        <v/>
      </c>
      <c r="L40" s="55" t="str">
        <f t="shared" si="1"/>
        <v/>
      </c>
    </row>
    <row r="41" spans="8:12" x14ac:dyDescent="0.3">
      <c r="H41" s="4" t="b" cm="1">
        <f t="array" ref="H41">OR(ISNUMBER(FIND(IF(ISBLANK(里程表!A$2:A$500),FALSE,里程表!A$2:A$500),RIGHT($F41,LEN($F41)-FIND("地點",$F41)-2))))</f>
        <v>0</v>
      </c>
      <c r="I41" s="4" t="b" cm="1">
        <f t="array" ref="I41">OR(ISNUMBER(FIND(IF(ISBLANK(里程表!B$2:B$500),FALSE,里程表!B$2:B$500),RIGHT($F41,LEN($F41)-FIND("地點",$F41)-2))))</f>
        <v>0</v>
      </c>
      <c r="J41" s="4" t="b" cm="1">
        <f t="array" ref="J41">OR(ISNUMBER(FIND(IF(ISBLANK(里程表!C$2:C$500),FALSE,里程表!C$2:C$500),RIGHT($F41,LEN($F41)-FIND("地點",$F41)-2))))</f>
        <v>0</v>
      </c>
      <c r="K41" s="55" t="str">
        <f t="shared" si="0"/>
        <v/>
      </c>
      <c r="L41" s="55" t="str">
        <f t="shared" si="1"/>
        <v/>
      </c>
    </row>
    <row r="42" spans="8:12" x14ac:dyDescent="0.3">
      <c r="H42" s="4" t="b" cm="1">
        <f t="array" ref="H42">OR(ISNUMBER(FIND(IF(ISBLANK(里程表!A$2:A$500),FALSE,里程表!A$2:A$500),RIGHT($F42,LEN($F42)-FIND("地點",$F42)-2))))</f>
        <v>0</v>
      </c>
      <c r="I42" s="4" t="b" cm="1">
        <f t="array" ref="I42">OR(ISNUMBER(FIND(IF(ISBLANK(里程表!B$2:B$500),FALSE,里程表!B$2:B$500),RIGHT($F42,LEN($F42)-FIND("地點",$F42)-2))))</f>
        <v>0</v>
      </c>
      <c r="J42" s="4" t="b" cm="1">
        <f t="array" ref="J42">OR(ISNUMBER(FIND(IF(ISBLANK(里程表!C$2:C$500),FALSE,里程表!C$2:C$500),RIGHT($F42,LEN($F42)-FIND("地點",$F42)-2))))</f>
        <v>0</v>
      </c>
      <c r="K42" s="55" t="str">
        <f t="shared" si="0"/>
        <v/>
      </c>
      <c r="L42" s="55" t="str">
        <f t="shared" si="1"/>
        <v/>
      </c>
    </row>
    <row r="43" spans="8:12" x14ac:dyDescent="0.3">
      <c r="H43" s="4" t="b" cm="1">
        <f t="array" ref="H43">OR(ISNUMBER(FIND(IF(ISBLANK(里程表!A$2:A$500),FALSE,里程表!A$2:A$500),RIGHT($F43,LEN($F43)-FIND("地點",$F43)-2))))</f>
        <v>0</v>
      </c>
      <c r="I43" s="4" t="b" cm="1">
        <f t="array" ref="I43">OR(ISNUMBER(FIND(IF(ISBLANK(里程表!B$2:B$500),FALSE,里程表!B$2:B$500),RIGHT($F43,LEN($F43)-FIND("地點",$F43)-2))))</f>
        <v>0</v>
      </c>
      <c r="J43" s="4" t="b" cm="1">
        <f t="array" ref="J43">OR(ISNUMBER(FIND(IF(ISBLANK(里程表!C$2:C$500),FALSE,里程表!C$2:C$500),RIGHT($F43,LEN($F43)-FIND("地點",$F43)-2))))</f>
        <v>0</v>
      </c>
      <c r="K43" s="55" t="str">
        <f t="shared" si="0"/>
        <v/>
      </c>
      <c r="L43" s="55" t="str">
        <f t="shared" si="1"/>
        <v/>
      </c>
    </row>
    <row r="44" spans="8:12" x14ac:dyDescent="0.3">
      <c r="H44" s="4" t="b" cm="1">
        <f t="array" ref="H44">OR(ISNUMBER(FIND(IF(ISBLANK(里程表!A$2:A$500),FALSE,里程表!A$2:A$500),RIGHT($F44,LEN($F44)-FIND("地點",$F44)-2))))</f>
        <v>0</v>
      </c>
      <c r="I44" s="4" t="b" cm="1">
        <f t="array" ref="I44">OR(ISNUMBER(FIND(IF(ISBLANK(里程表!B$2:B$500),FALSE,里程表!B$2:B$500),RIGHT($F44,LEN($F44)-FIND("地點",$F44)-2))))</f>
        <v>0</v>
      </c>
      <c r="J44" s="4" t="b" cm="1">
        <f t="array" ref="J44">OR(ISNUMBER(FIND(IF(ISBLANK(里程表!C$2:C$500),FALSE,里程表!C$2:C$500),RIGHT($F44,LEN($F44)-FIND("地點",$F44)-2))))</f>
        <v>0</v>
      </c>
      <c r="K44" s="55" t="str">
        <f t="shared" si="0"/>
        <v/>
      </c>
      <c r="L44" s="55" t="str">
        <f t="shared" si="1"/>
        <v/>
      </c>
    </row>
    <row r="45" spans="8:12" x14ac:dyDescent="0.3">
      <c r="H45" s="4" t="b" cm="1">
        <f t="array" ref="H45">OR(ISNUMBER(FIND(IF(ISBLANK(里程表!A$2:A$500),FALSE,里程表!A$2:A$500),RIGHT($F45,LEN($F45)-FIND("地點",$F45)-2))))</f>
        <v>0</v>
      </c>
      <c r="I45" s="4" t="b" cm="1">
        <f t="array" ref="I45">OR(ISNUMBER(FIND(IF(ISBLANK(里程表!B$2:B$500),FALSE,里程表!B$2:B$500),RIGHT($F45,LEN($F45)-FIND("地點",$F45)-2))))</f>
        <v>0</v>
      </c>
      <c r="J45" s="4" t="b" cm="1">
        <f t="array" ref="J45">OR(ISNUMBER(FIND(IF(ISBLANK(里程表!C$2:C$500),FALSE,里程表!C$2:C$500),RIGHT($F45,LEN($F45)-FIND("地點",$F45)-2))))</f>
        <v>0</v>
      </c>
      <c r="K45" s="55" t="str">
        <f t="shared" si="0"/>
        <v/>
      </c>
      <c r="L45" s="55" t="str">
        <f t="shared" si="1"/>
        <v/>
      </c>
    </row>
    <row r="46" spans="8:12" x14ac:dyDescent="0.3">
      <c r="H46" s="4" t="b" cm="1">
        <f t="array" ref="H46">OR(ISNUMBER(FIND(IF(ISBLANK(里程表!A$2:A$500),FALSE,里程表!A$2:A$500),RIGHT($F46,LEN($F46)-FIND("地點",$F46)-2))))</f>
        <v>0</v>
      </c>
      <c r="I46" s="4" t="b" cm="1">
        <f t="array" ref="I46">OR(ISNUMBER(FIND(IF(ISBLANK(里程表!B$2:B$500),FALSE,里程表!B$2:B$500),RIGHT($F46,LEN($F46)-FIND("地點",$F46)-2))))</f>
        <v>0</v>
      </c>
      <c r="J46" s="4" t="b" cm="1">
        <f t="array" ref="J46">OR(ISNUMBER(FIND(IF(ISBLANK(里程表!C$2:C$500),FALSE,里程表!C$2:C$500),RIGHT($F46,LEN($F46)-FIND("地點",$F46)-2))))</f>
        <v>0</v>
      </c>
      <c r="K46" s="55" t="str">
        <f t="shared" si="0"/>
        <v/>
      </c>
      <c r="L46" s="55" t="str">
        <f t="shared" si="1"/>
        <v/>
      </c>
    </row>
    <row r="47" spans="8:12" x14ac:dyDescent="0.3">
      <c r="H47" s="4" t="b" cm="1">
        <f t="array" ref="H47">OR(ISNUMBER(FIND(IF(ISBLANK(里程表!A$2:A$500),FALSE,里程表!A$2:A$500),RIGHT($F47,LEN($F47)-FIND("地點",$F47)-2))))</f>
        <v>0</v>
      </c>
      <c r="I47" s="4" t="b" cm="1">
        <f t="array" ref="I47">OR(ISNUMBER(FIND(IF(ISBLANK(里程表!B$2:B$500),FALSE,里程表!B$2:B$500),RIGHT($F47,LEN($F47)-FIND("地點",$F47)-2))))</f>
        <v>0</v>
      </c>
      <c r="J47" s="4" t="b" cm="1">
        <f t="array" ref="J47">OR(ISNUMBER(FIND(IF(ISBLANK(里程表!C$2:C$500),FALSE,里程表!C$2:C$500),RIGHT($F47,LEN($F47)-FIND("地點",$F47)-2))))</f>
        <v>0</v>
      </c>
      <c r="K47" s="55" t="str">
        <f t="shared" si="0"/>
        <v/>
      </c>
      <c r="L47" s="55" t="str">
        <f t="shared" si="1"/>
        <v/>
      </c>
    </row>
    <row r="48" spans="8:12" x14ac:dyDescent="0.3">
      <c r="H48" s="4" t="b" cm="1">
        <f t="array" ref="H48">OR(ISNUMBER(FIND(IF(ISBLANK(里程表!A$2:A$500),FALSE,里程表!A$2:A$500),RIGHT($F48,LEN($F48)-FIND("地點",$F48)-2))))</f>
        <v>0</v>
      </c>
      <c r="I48" s="4" t="b" cm="1">
        <f t="array" ref="I48">OR(ISNUMBER(FIND(IF(ISBLANK(里程表!B$2:B$500),FALSE,里程表!B$2:B$500),RIGHT($F48,LEN($F48)-FIND("地點",$F48)-2))))</f>
        <v>0</v>
      </c>
      <c r="J48" s="4" t="b" cm="1">
        <f t="array" ref="J48">OR(ISNUMBER(FIND(IF(ISBLANK(里程表!C$2:C$500),FALSE,里程表!C$2:C$500),RIGHT($F48,LEN($F48)-FIND("地點",$F48)-2))))</f>
        <v>0</v>
      </c>
      <c r="K48" s="55" t="str">
        <f t="shared" si="0"/>
        <v/>
      </c>
      <c r="L48" s="55" t="str">
        <f t="shared" si="1"/>
        <v/>
      </c>
    </row>
    <row r="49" spans="8:12" x14ac:dyDescent="0.3">
      <c r="H49" s="4" t="b" cm="1">
        <f t="array" ref="H49">OR(ISNUMBER(FIND(IF(ISBLANK(里程表!A$2:A$500),FALSE,里程表!A$2:A$500),RIGHT($F49,LEN($F49)-FIND("地點",$F49)-2))))</f>
        <v>0</v>
      </c>
      <c r="I49" s="4" t="b" cm="1">
        <f t="array" ref="I49">OR(ISNUMBER(FIND(IF(ISBLANK(里程表!B$2:B$500),FALSE,里程表!B$2:B$500),RIGHT($F49,LEN($F49)-FIND("地點",$F49)-2))))</f>
        <v>0</v>
      </c>
      <c r="J49" s="4" t="b" cm="1">
        <f t="array" ref="J49">OR(ISNUMBER(FIND(IF(ISBLANK(里程表!C$2:C$500),FALSE,里程表!C$2:C$500),RIGHT($F49,LEN($F49)-FIND("地點",$F49)-2))))</f>
        <v>0</v>
      </c>
      <c r="K49" s="55" t="str">
        <f t="shared" si="0"/>
        <v/>
      </c>
      <c r="L49" s="55" t="str">
        <f t="shared" si="1"/>
        <v/>
      </c>
    </row>
    <row r="50" spans="8:12" x14ac:dyDescent="0.3">
      <c r="H50" s="4" t="b" cm="1">
        <f t="array" ref="H50">OR(ISNUMBER(FIND(IF(ISBLANK(里程表!A$2:A$500),FALSE,里程表!A$2:A$500),RIGHT($F50,LEN($F50)-FIND("地點",$F50)-2))))</f>
        <v>0</v>
      </c>
      <c r="I50" s="4" t="b" cm="1">
        <f t="array" ref="I50">OR(ISNUMBER(FIND(IF(ISBLANK(里程表!B$2:B$500),FALSE,里程表!B$2:B$500),RIGHT($F50,LEN($F50)-FIND("地點",$F50)-2))))</f>
        <v>0</v>
      </c>
      <c r="J50" s="4" t="b" cm="1">
        <f t="array" ref="J50">OR(ISNUMBER(FIND(IF(ISBLANK(里程表!C$2:C$500),FALSE,里程表!C$2:C$500),RIGHT($F50,LEN($F50)-FIND("地點",$F50)-2))))</f>
        <v>0</v>
      </c>
      <c r="K50" s="55" t="str">
        <f t="shared" si="0"/>
        <v/>
      </c>
      <c r="L50" s="55" t="str">
        <f t="shared" si="1"/>
        <v/>
      </c>
    </row>
    <row r="51" spans="8:12" x14ac:dyDescent="0.3">
      <c r="H51" s="4" t="b" cm="1">
        <f t="array" ref="H51">OR(ISNUMBER(FIND(IF(ISBLANK(里程表!A$2:A$500),FALSE,里程表!A$2:A$500),RIGHT($F51,LEN($F51)-FIND("地點",$F51)-2))))</f>
        <v>0</v>
      </c>
      <c r="I51" s="4" t="b" cm="1">
        <f t="array" ref="I51">OR(ISNUMBER(FIND(IF(ISBLANK(里程表!B$2:B$500),FALSE,里程表!B$2:B$500),RIGHT($F51,LEN($F51)-FIND("地點",$F51)-2))))</f>
        <v>0</v>
      </c>
      <c r="J51" s="4" t="b" cm="1">
        <f t="array" ref="J51">OR(ISNUMBER(FIND(IF(ISBLANK(里程表!C$2:C$500),FALSE,里程表!C$2:C$500),RIGHT($F51,LEN($F51)-FIND("地點",$F51)-2))))</f>
        <v>0</v>
      </c>
      <c r="K51" s="55" t="str">
        <f t="shared" si="0"/>
        <v/>
      </c>
      <c r="L51" s="55" t="str">
        <f t="shared" si="1"/>
        <v/>
      </c>
    </row>
  </sheetData>
  <sheetProtection sheet="1" selectLockedCells="1"/>
  <mergeCells count="30">
    <mergeCell ref="G10:G11"/>
    <mergeCell ref="A10:A11"/>
    <mergeCell ref="C10:C11"/>
    <mergeCell ref="D10:D11"/>
    <mergeCell ref="E10:E11"/>
    <mergeCell ref="F10:F11"/>
    <mergeCell ref="G8:G9"/>
    <mergeCell ref="A6:A7"/>
    <mergeCell ref="C6:C7"/>
    <mergeCell ref="D6:D7"/>
    <mergeCell ref="E6:E7"/>
    <mergeCell ref="F6:F7"/>
    <mergeCell ref="G6:G7"/>
    <mergeCell ref="A8:A9"/>
    <mergeCell ref="C8:C9"/>
    <mergeCell ref="D8:D9"/>
    <mergeCell ref="E8:E9"/>
    <mergeCell ref="F8:F9"/>
    <mergeCell ref="G4:G5"/>
    <mergeCell ref="A2:A3"/>
    <mergeCell ref="C2:C3"/>
    <mergeCell ref="D2:D3"/>
    <mergeCell ref="E2:E3"/>
    <mergeCell ref="F2:F3"/>
    <mergeCell ref="G2:G3"/>
    <mergeCell ref="A4:A5"/>
    <mergeCell ref="C4:C5"/>
    <mergeCell ref="D4:D5"/>
    <mergeCell ref="E4:E5"/>
    <mergeCell ref="F4:F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41" r:id="rId4" name="Button 25">
              <controlPr defaultSize="0" print="0" autoFill="0" autoPict="0" macro="[0]!load_data_this_month">
                <anchor moveWithCells="1" sizeWithCells="1">
                  <from>
                    <xdr:col>12</xdr:col>
                    <xdr:colOff>281940</xdr:colOff>
                    <xdr:row>1</xdr:row>
                    <xdr:rowOff>106680</xdr:rowOff>
                  </from>
                  <to>
                    <xdr:col>14</xdr:col>
                    <xdr:colOff>190500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5" name="Button 123">
              <controlPr defaultSize="0" print="0" autoFill="0" autoPict="0" macro="[0]!load_data_last_month">
                <anchor moveWithCells="1" sizeWithCells="1">
                  <from>
                    <xdr:col>12</xdr:col>
                    <xdr:colOff>281940</xdr:colOff>
                    <xdr:row>3</xdr:row>
                    <xdr:rowOff>121920</xdr:rowOff>
                  </from>
                  <to>
                    <xdr:col>14</xdr:col>
                    <xdr:colOff>190500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71E6E-09B7-441A-A865-EE7F34F9EB8C}">
  <sheetPr codeName="工作表3"/>
  <dimension ref="A1:I2"/>
  <sheetViews>
    <sheetView zoomScale="130" zoomScaleNormal="130" workbookViewId="0">
      <selection activeCell="D4" sqref="D4"/>
    </sheetView>
  </sheetViews>
  <sheetFormatPr defaultRowHeight="16.2" x14ac:dyDescent="0.3"/>
  <cols>
    <col min="1" max="1" width="8.109375" bestFit="1" customWidth="1"/>
    <col min="2" max="2" width="19.6640625" bestFit="1" customWidth="1"/>
    <col min="3" max="3" width="17.77734375" bestFit="1" customWidth="1"/>
    <col min="4" max="4" width="7.44140625" bestFit="1" customWidth="1"/>
    <col min="5" max="6" width="6" bestFit="1" customWidth="1"/>
    <col min="7" max="7" width="75.77734375" bestFit="1" customWidth="1"/>
  </cols>
  <sheetData>
    <row r="1" spans="1:9" s="47" customFormat="1" x14ac:dyDescent="0.3">
      <c r="A1" s="47" t="s">
        <v>55</v>
      </c>
      <c r="B1" s="47" t="s">
        <v>56</v>
      </c>
      <c r="D1" s="47" t="s">
        <v>57</v>
      </c>
      <c r="E1" s="47" t="s">
        <v>58</v>
      </c>
      <c r="F1" s="47" t="s">
        <v>59</v>
      </c>
      <c r="G1" s="47" t="s">
        <v>60</v>
      </c>
      <c r="H1" s="49" t="s">
        <v>65</v>
      </c>
      <c r="I1" s="49" t="s">
        <v>16</v>
      </c>
    </row>
    <row r="2" spans="1:9" x14ac:dyDescent="0.3">
      <c r="A2" t="e" cm="1" vm="2">
        <f t="array" ref="A2">_xlfn._xlws.FILTER(差假資料!A2:A51,(差假資料!$C2:$C51="22公出")*((差假資料!$D2:$D51&gt;=1)+(差假資料!$E2:$E51&gt;=4)+(差假資料!$K2:$K51=差假資料!$I$1)+(差假資料!$K2:$K51=差假資料!$J$1)))</f>
        <v>#VALUE!</v>
      </c>
      <c r="B2" t="e" cm="1" vm="2">
        <f t="array" ref="B2">_xlfn._xlws.FILTER(差假資料!B2:B51,(差假資料!$C2:$C51="22公出")*((差假資料!$D2:$D51&gt;=1)+(差假資料!$E2:$E51&gt;=4)+(差假資料!$K2:$K51=差假資料!$I$1)+(差假資料!$K2:$K51=差假資料!$J$1)))</f>
        <v>#VALUE!</v>
      </c>
      <c r="C2" t="e" cm="1" vm="2">
        <f t="array" ref="C2">_xlfn._xlws.FILTER(差假資料!B3:B52,(差假資料!$C2:$C51="22公出")*((差假資料!$D2:$D51&gt;=1)+(差假資料!$E2:$E51&gt;=4)+(差假資料!$K2:$K51=差假資料!$I$1)+(差假資料!$K2:$K51=差假資料!$J$1)))</f>
        <v>#VALUE!</v>
      </c>
      <c r="D2" t="e" cm="1" vm="2">
        <f t="array" ref="D2">_xlfn._xlws.FILTER(差假資料!C2:C51,(差假資料!$C2:$C51="22公出")*((差假資料!$D2:$D51&gt;=1)+(差假資料!$E2:$E51&gt;=4)+(差假資料!$K2:$K51=差假資料!$I$1)+(差假資料!$K2:$K51=差假資料!$J$1)))</f>
        <v>#VALUE!</v>
      </c>
      <c r="E2" t="e" cm="1" vm="2">
        <f t="array" ref="E2">_xlfn._xlws.FILTER(差假資料!D2:D51,(差假資料!$C2:$C51="22公出")*((差假資料!$D2:$D51&gt;=1)+(差假資料!$E2:$E51&gt;=4)+(差假資料!$K2:$K51=差假資料!$I$1)+(差假資料!$K2:$K51=差假資料!$J$1)))</f>
        <v>#VALUE!</v>
      </c>
      <c r="F2" t="e" cm="1" vm="2">
        <f t="array" ref="F2">_xlfn._xlws.FILTER(差假資料!E2:E51,(差假資料!$C2:$C51="22公出")*((差假資料!$D2:$D51&gt;=1)+(差假資料!$E2:$E51&gt;=4)+(差假資料!$K2:$K51=差假資料!$I$1)+(差假資料!$K2:$K51=差假資料!$J$1)))</f>
        <v>#VALUE!</v>
      </c>
      <c r="G2" t="e" cm="1" vm="2">
        <f t="array" ref="G2">_xlfn._xlws.FILTER(差假資料!F2:F51,(差假資料!$C2:$C51="22公出")*((差假資料!$D2:$D51&gt;=1)+(差假資料!$E2:$E51&gt;=4)+(差假資料!$K2:$K51=差假資料!$I$1)+(差假資料!$K2:$K51=差假資料!$J$1)))</f>
        <v>#VALUE!</v>
      </c>
      <c r="H2" t="e" cm="1" vm="2">
        <f t="array" ref="H2">_xlfn._xlws.FILTER(差假資料!K2:K51,(差假資料!$C2:$C51="22公出")*((差假資料!$D2:$D51&gt;=1)+(差假資料!$E2:$E51&gt;=4)+(差假資料!$K2:$K51=差假資料!$I$1)+(差假資料!$K2:$K51=差假資料!$J$1)))</f>
        <v>#VALUE!</v>
      </c>
      <c r="I2" t="e" cm="1" vm="2">
        <f t="array" ref="I2">_xlfn._xlws.FILTER(差假資料!L2:L51,(差假資料!$C2:$C51="22公出")*((差假資料!$D2:$D51&gt;=1)+(差假資料!$E2:$E51&gt;=4)+(差假資料!$K2:$K51=差假資料!$I$1)+(差假資料!$K2:$K51=差假資料!$J$1)))</f>
        <v>#VALUE!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8BDC4-72A5-4E70-BB69-A2F7A7A43784}">
  <sheetPr codeName="工作表6"/>
  <dimension ref="A1:D25"/>
  <sheetViews>
    <sheetView zoomScale="85" zoomScaleNormal="85" workbookViewId="0"/>
  </sheetViews>
  <sheetFormatPr defaultRowHeight="16.2" x14ac:dyDescent="0.3"/>
  <cols>
    <col min="1" max="1" width="9.44140625" style="48" bestFit="1" customWidth="1"/>
    <col min="2" max="3" width="9" style="48"/>
  </cols>
  <sheetData>
    <row r="1" spans="1:4" x14ac:dyDescent="0.3">
      <c r="A1" s="49" t="s">
        <v>62</v>
      </c>
      <c r="B1" s="49" t="s">
        <v>64</v>
      </c>
      <c r="C1" s="49" t="s">
        <v>63</v>
      </c>
      <c r="D1" s="50"/>
    </row>
    <row r="2" spans="1:4" x14ac:dyDescent="0.3">
      <c r="A2" s="48" t="s">
        <v>70</v>
      </c>
      <c r="B2" s="48" t="s">
        <v>71</v>
      </c>
      <c r="C2" s="48" t="s">
        <v>72</v>
      </c>
    </row>
    <row r="3" spans="1:4" x14ac:dyDescent="0.3">
      <c r="A3" s="48" t="s">
        <v>73</v>
      </c>
      <c r="B3" s="48" t="s">
        <v>74</v>
      </c>
      <c r="C3" s="48" t="s">
        <v>75</v>
      </c>
    </row>
    <row r="4" spans="1:4" x14ac:dyDescent="0.3">
      <c r="A4" s="48" t="s">
        <v>76</v>
      </c>
      <c r="B4" s="48" t="s">
        <v>77</v>
      </c>
      <c r="C4" s="48" t="s">
        <v>117</v>
      </c>
    </row>
    <row r="5" spans="1:4" x14ac:dyDescent="0.3">
      <c r="A5" s="48" t="s">
        <v>78</v>
      </c>
      <c r="B5" s="48" t="s">
        <v>79</v>
      </c>
    </row>
    <row r="6" spans="1:4" x14ac:dyDescent="0.3">
      <c r="A6" s="48" t="s">
        <v>80</v>
      </c>
      <c r="B6" s="48" t="s">
        <v>81</v>
      </c>
    </row>
    <row r="7" spans="1:4" x14ac:dyDescent="0.3">
      <c r="A7" s="48" t="s">
        <v>82</v>
      </c>
      <c r="B7" s="48" t="s">
        <v>83</v>
      </c>
    </row>
    <row r="8" spans="1:4" x14ac:dyDescent="0.3">
      <c r="A8" s="48" t="s">
        <v>84</v>
      </c>
      <c r="B8" s="48" t="s">
        <v>85</v>
      </c>
    </row>
    <row r="9" spans="1:4" x14ac:dyDescent="0.3">
      <c r="A9" s="48" t="s">
        <v>86</v>
      </c>
      <c r="B9" s="48" t="s">
        <v>87</v>
      </c>
    </row>
    <row r="10" spans="1:4" x14ac:dyDescent="0.3">
      <c r="A10" s="48" t="s">
        <v>88</v>
      </c>
      <c r="B10" s="48" t="s">
        <v>89</v>
      </c>
    </row>
    <row r="11" spans="1:4" x14ac:dyDescent="0.3">
      <c r="A11" s="48" t="s">
        <v>90</v>
      </c>
      <c r="B11" s="48" t="s">
        <v>91</v>
      </c>
    </row>
    <row r="12" spans="1:4" x14ac:dyDescent="0.3">
      <c r="A12" s="48" t="s">
        <v>92</v>
      </c>
      <c r="B12" s="48" t="s">
        <v>93</v>
      </c>
    </row>
    <row r="13" spans="1:4" x14ac:dyDescent="0.3">
      <c r="A13" s="48" t="s">
        <v>94</v>
      </c>
      <c r="B13" s="48" t="s">
        <v>95</v>
      </c>
    </row>
    <row r="14" spans="1:4" x14ac:dyDescent="0.3">
      <c r="A14" s="48" t="s">
        <v>96</v>
      </c>
      <c r="B14" s="48" t="s">
        <v>97</v>
      </c>
    </row>
    <row r="15" spans="1:4" x14ac:dyDescent="0.3">
      <c r="A15" s="48" t="s">
        <v>98</v>
      </c>
      <c r="B15" s="48" t="s">
        <v>99</v>
      </c>
    </row>
    <row r="16" spans="1:4" x14ac:dyDescent="0.3">
      <c r="A16" s="48" t="s">
        <v>100</v>
      </c>
      <c r="B16" s="48" t="s">
        <v>101</v>
      </c>
    </row>
    <row r="17" spans="1:2" x14ac:dyDescent="0.3">
      <c r="A17" s="48" t="s">
        <v>102</v>
      </c>
      <c r="B17" s="48" t="s">
        <v>103</v>
      </c>
    </row>
    <row r="18" spans="1:2" x14ac:dyDescent="0.3">
      <c r="A18" s="48" t="s">
        <v>104</v>
      </c>
      <c r="B18" s="48" t="s">
        <v>105</v>
      </c>
    </row>
    <row r="19" spans="1:2" x14ac:dyDescent="0.3">
      <c r="A19" s="48" t="s">
        <v>106</v>
      </c>
      <c r="B19" s="48" t="s">
        <v>107</v>
      </c>
    </row>
    <row r="20" spans="1:2" x14ac:dyDescent="0.3">
      <c r="A20" s="48" t="s">
        <v>108</v>
      </c>
      <c r="B20" s="48" t="s">
        <v>109</v>
      </c>
    </row>
    <row r="21" spans="1:2" x14ac:dyDescent="0.3">
      <c r="A21" s="48" t="s">
        <v>110</v>
      </c>
      <c r="B21" s="48" t="s">
        <v>112</v>
      </c>
    </row>
    <row r="22" spans="1:2" x14ac:dyDescent="0.3">
      <c r="B22" s="48" t="s">
        <v>113</v>
      </c>
    </row>
    <row r="23" spans="1:2" x14ac:dyDescent="0.3">
      <c r="B23" s="48" t="s">
        <v>114</v>
      </c>
    </row>
    <row r="24" spans="1:2" x14ac:dyDescent="0.3">
      <c r="B24" s="48" t="s">
        <v>115</v>
      </c>
    </row>
    <row r="25" spans="1:2" x14ac:dyDescent="0.3">
      <c r="B25" s="48" t="s">
        <v>116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6</vt:i4>
      </vt:variant>
    </vt:vector>
  </HeadingPairs>
  <TitlesOfParts>
    <vt:vector size="10" baseType="lpstr">
      <vt:lpstr>外勤費報支單</vt:lpstr>
      <vt:lpstr>差假資料</vt:lpstr>
      <vt:lpstr>差假資料-FILTER</vt:lpstr>
      <vt:lpstr>里程表</vt:lpstr>
      <vt:lpstr>外勤費報支單!_60KM以上</vt:lpstr>
      <vt:lpstr>外勤費報支單!Print_Area</vt:lpstr>
      <vt:lpstr>WBS</vt:lpstr>
      <vt:lpstr>各WBS</vt:lpstr>
      <vt:lpstr>項次</vt:lpstr>
      <vt:lpstr>項次A2</vt:lpstr>
    </vt:vector>
  </TitlesOfParts>
  <Company>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彰濱E/S 外包人力 黃婉甄</dc:creator>
  <cp:lastModifiedBy>台中供電區處</cp:lastModifiedBy>
  <cp:lastPrinted>2024-09-03T03:03:23Z</cp:lastPrinted>
  <dcterms:created xsi:type="dcterms:W3CDTF">2003-09-03T08:27:50Z</dcterms:created>
  <dcterms:modified xsi:type="dcterms:W3CDTF">2025-06-19T03:47:18Z</dcterms:modified>
</cp:coreProperties>
</file>